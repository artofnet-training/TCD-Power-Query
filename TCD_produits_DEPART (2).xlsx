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Documents partages/Digicomp/EXCEL/MEPT/"/>
    </mc:Choice>
  </mc:AlternateContent>
  <xr:revisionPtr revIDLastSave="98" documentId="8_{AFED9F3D-0638-4E76-B7C1-E1335F3D42E1}" xr6:coauthVersionLast="47" xr6:coauthVersionMax="47" xr10:uidLastSave="{23C74460-F89B-473E-AED0-899A0CDACF72}"/>
  <bookViews>
    <workbookView xWindow="-28860" yWindow="945" windowWidth="26580" windowHeight="11295" xr2:uid="{014BBB60-E45C-4242-B6AA-77014AE124DF}"/>
  </bookViews>
  <sheets>
    <sheet name="Data_départ" sheetId="1" r:id="rId1"/>
    <sheet name="Ajout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4" i="1" l="1"/>
  <c r="H164" i="1"/>
  <c r="G164" i="1"/>
  <c r="I163" i="1"/>
  <c r="H163" i="1"/>
  <c r="G163" i="1"/>
  <c r="G162" i="1"/>
  <c r="I162" i="1" s="1"/>
  <c r="G161" i="1"/>
  <c r="I161" i="1" s="1"/>
  <c r="I160" i="1"/>
  <c r="H160" i="1"/>
  <c r="G160" i="1"/>
  <c r="I159" i="1"/>
  <c r="H159" i="1"/>
  <c r="G159" i="1"/>
  <c r="I158" i="1"/>
  <c r="H158" i="1"/>
  <c r="G158" i="1"/>
  <c r="I157" i="1"/>
  <c r="G157" i="1"/>
  <c r="H157" i="1" s="1"/>
  <c r="I156" i="1"/>
  <c r="H156" i="1"/>
  <c r="G156" i="1"/>
  <c r="I155" i="1"/>
  <c r="H155" i="1"/>
  <c r="G155" i="1"/>
  <c r="I154" i="1"/>
  <c r="H154" i="1"/>
  <c r="G154" i="1"/>
  <c r="I153" i="1"/>
  <c r="G153" i="1"/>
  <c r="H153" i="1" s="1"/>
  <c r="I152" i="1"/>
  <c r="H152" i="1"/>
  <c r="G152" i="1"/>
  <c r="I151" i="1"/>
  <c r="H151" i="1"/>
  <c r="G151" i="1"/>
  <c r="I150" i="1"/>
  <c r="H150" i="1"/>
  <c r="G150" i="1"/>
  <c r="I149" i="1"/>
  <c r="G149" i="1"/>
  <c r="H149" i="1" s="1"/>
  <c r="I148" i="1"/>
  <c r="H148" i="1"/>
  <c r="G148" i="1"/>
  <c r="I147" i="1"/>
  <c r="H147" i="1"/>
  <c r="G147" i="1"/>
  <c r="I146" i="1"/>
  <c r="H146" i="1"/>
  <c r="G146" i="1"/>
  <c r="I145" i="1"/>
  <c r="G145" i="1"/>
  <c r="H145" i="1" s="1"/>
  <c r="I144" i="1"/>
  <c r="H144" i="1"/>
  <c r="G144" i="1"/>
  <c r="I143" i="1"/>
  <c r="H143" i="1"/>
  <c r="G143" i="1"/>
  <c r="I142" i="1"/>
  <c r="H142" i="1"/>
  <c r="G142" i="1"/>
  <c r="I141" i="1"/>
  <c r="G141" i="1"/>
  <c r="H141" i="1" s="1"/>
  <c r="I140" i="1"/>
  <c r="H140" i="1"/>
  <c r="G140" i="1"/>
  <c r="I139" i="1"/>
  <c r="H139" i="1"/>
  <c r="G139" i="1"/>
  <c r="I138" i="1"/>
  <c r="H138" i="1"/>
  <c r="G138" i="1"/>
  <c r="I137" i="1"/>
  <c r="G137" i="1"/>
  <c r="H137" i="1" s="1"/>
  <c r="I136" i="1"/>
  <c r="H136" i="1"/>
  <c r="G136" i="1"/>
  <c r="I135" i="1"/>
  <c r="H135" i="1"/>
  <c r="G135" i="1"/>
  <c r="I134" i="1"/>
  <c r="H134" i="1"/>
  <c r="G134" i="1"/>
  <c r="I133" i="1"/>
  <c r="G133" i="1"/>
  <c r="H133" i="1" s="1"/>
  <c r="I132" i="1"/>
  <c r="H132" i="1"/>
  <c r="G132" i="1"/>
  <c r="I131" i="1"/>
  <c r="H131" i="1"/>
  <c r="G131" i="1"/>
  <c r="I130" i="1"/>
  <c r="H130" i="1"/>
  <c r="G130" i="1"/>
  <c r="I129" i="1"/>
  <c r="G129" i="1"/>
  <c r="H129" i="1" s="1"/>
  <c r="I128" i="1"/>
  <c r="H128" i="1"/>
  <c r="G128" i="1"/>
  <c r="I127" i="1"/>
  <c r="H127" i="1"/>
  <c r="G127" i="1"/>
  <c r="I126" i="1"/>
  <c r="H126" i="1"/>
  <c r="G126" i="1"/>
  <c r="I125" i="1"/>
  <c r="G125" i="1"/>
  <c r="H125" i="1" s="1"/>
  <c r="I124" i="1"/>
  <c r="H124" i="1"/>
  <c r="G124" i="1"/>
  <c r="I123" i="1"/>
  <c r="H123" i="1"/>
  <c r="G123" i="1"/>
  <c r="I122" i="1"/>
  <c r="H122" i="1"/>
  <c r="G122" i="1"/>
  <c r="I121" i="1"/>
  <c r="G121" i="1"/>
  <c r="H121" i="1" s="1"/>
  <c r="I120" i="1"/>
  <c r="H120" i="1"/>
  <c r="G120" i="1"/>
  <c r="I119" i="1"/>
  <c r="H119" i="1"/>
  <c r="G119" i="1"/>
  <c r="I118" i="1"/>
  <c r="H118" i="1"/>
  <c r="G118" i="1"/>
  <c r="I117" i="1"/>
  <c r="G117" i="1"/>
  <c r="H117" i="1" s="1"/>
  <c r="I116" i="1"/>
  <c r="H116" i="1"/>
  <c r="G116" i="1"/>
  <c r="I115" i="1"/>
  <c r="H115" i="1"/>
  <c r="G115" i="1"/>
  <c r="I114" i="1"/>
  <c r="H114" i="1"/>
  <c r="G114" i="1"/>
  <c r="I113" i="1"/>
  <c r="G113" i="1"/>
  <c r="H113" i="1" s="1"/>
  <c r="I112" i="1"/>
  <c r="H112" i="1"/>
  <c r="G112" i="1"/>
  <c r="I111" i="1"/>
  <c r="H111" i="1"/>
  <c r="G111" i="1"/>
  <c r="I110" i="1"/>
  <c r="H110" i="1"/>
  <c r="G110" i="1"/>
  <c r="I109" i="1"/>
  <c r="G109" i="1"/>
  <c r="H109" i="1" s="1"/>
  <c r="I108" i="1"/>
  <c r="H108" i="1"/>
  <c r="G108" i="1"/>
  <c r="I107" i="1"/>
  <c r="H107" i="1"/>
  <c r="G107" i="1"/>
  <c r="I106" i="1"/>
  <c r="H106" i="1"/>
  <c r="G106" i="1"/>
  <c r="I105" i="1"/>
  <c r="G105" i="1"/>
  <c r="H105" i="1" s="1"/>
  <c r="I104" i="1"/>
  <c r="H104" i="1"/>
  <c r="G104" i="1"/>
  <c r="I103" i="1"/>
  <c r="H103" i="1"/>
  <c r="G103" i="1"/>
  <c r="I102" i="1"/>
  <c r="H102" i="1"/>
  <c r="G102" i="1"/>
  <c r="I101" i="1"/>
  <c r="G101" i="1"/>
  <c r="H101" i="1" s="1"/>
  <c r="I100" i="1"/>
  <c r="H100" i="1"/>
  <c r="G100" i="1"/>
  <c r="I99" i="1"/>
  <c r="H99" i="1"/>
  <c r="G99" i="1"/>
  <c r="I98" i="1"/>
  <c r="H98" i="1"/>
  <c r="G98" i="1"/>
  <c r="I97" i="1"/>
  <c r="G97" i="1"/>
  <c r="H97" i="1" s="1"/>
  <c r="I96" i="1"/>
  <c r="H96" i="1"/>
  <c r="G96" i="1"/>
  <c r="I95" i="1"/>
  <c r="H95" i="1"/>
  <c r="G95" i="1"/>
  <c r="I94" i="1"/>
  <c r="H94" i="1"/>
  <c r="G94" i="1"/>
  <c r="I93" i="1"/>
  <c r="G93" i="1"/>
  <c r="H93" i="1" s="1"/>
  <c r="I92" i="1"/>
  <c r="H92" i="1"/>
  <c r="G92" i="1"/>
  <c r="I91" i="1"/>
  <c r="H91" i="1"/>
  <c r="G91" i="1"/>
  <c r="I90" i="1"/>
  <c r="H90" i="1"/>
  <c r="G90" i="1"/>
  <c r="I89" i="1"/>
  <c r="G89" i="1"/>
  <c r="H89" i="1" s="1"/>
  <c r="I88" i="1"/>
  <c r="H88" i="1"/>
  <c r="G88" i="1"/>
  <c r="I87" i="1"/>
  <c r="H87" i="1"/>
  <c r="G87" i="1"/>
  <c r="I86" i="1"/>
  <c r="H86" i="1"/>
  <c r="G86" i="1"/>
  <c r="I85" i="1"/>
  <c r="G85" i="1"/>
  <c r="H85" i="1" s="1"/>
  <c r="I84" i="1"/>
  <c r="H84" i="1"/>
  <c r="G84" i="1"/>
  <c r="I83" i="1"/>
  <c r="H83" i="1"/>
  <c r="G83" i="1"/>
  <c r="I82" i="1"/>
  <c r="H82" i="1"/>
  <c r="G82" i="1"/>
  <c r="I81" i="1"/>
  <c r="G81" i="1"/>
  <c r="H81" i="1" s="1"/>
  <c r="I80" i="1"/>
  <c r="H80" i="1"/>
  <c r="G80" i="1"/>
  <c r="I79" i="1"/>
  <c r="H79" i="1"/>
  <c r="G79" i="1"/>
  <c r="I78" i="1"/>
  <c r="H78" i="1"/>
  <c r="G78" i="1"/>
  <c r="I77" i="1"/>
  <c r="G77" i="1"/>
  <c r="H77" i="1" s="1"/>
  <c r="I76" i="1"/>
  <c r="H76" i="1"/>
  <c r="G76" i="1"/>
  <c r="I75" i="1"/>
  <c r="H75" i="1"/>
  <c r="G75" i="1"/>
  <c r="I74" i="1"/>
  <c r="H74" i="1"/>
  <c r="G74" i="1"/>
  <c r="I73" i="1"/>
  <c r="G73" i="1"/>
  <c r="H73" i="1" s="1"/>
  <c r="I72" i="1"/>
  <c r="H72" i="1"/>
  <c r="G72" i="1"/>
  <c r="I71" i="1"/>
  <c r="H71" i="1"/>
  <c r="G71" i="1"/>
  <c r="I70" i="1"/>
  <c r="H70" i="1"/>
  <c r="G70" i="1"/>
  <c r="I69" i="1"/>
  <c r="G69" i="1"/>
  <c r="H69" i="1" s="1"/>
  <c r="I68" i="1"/>
  <c r="H68" i="1"/>
  <c r="G68" i="1"/>
  <c r="I67" i="1"/>
  <c r="H67" i="1"/>
  <c r="G67" i="1"/>
  <c r="I66" i="1"/>
  <c r="H66" i="1"/>
  <c r="G66" i="1"/>
  <c r="I65" i="1"/>
  <c r="G65" i="1"/>
  <c r="H65" i="1" s="1"/>
  <c r="I64" i="1"/>
  <c r="H64" i="1"/>
  <c r="G64" i="1"/>
  <c r="I63" i="1"/>
  <c r="H63" i="1"/>
  <c r="G63" i="1"/>
  <c r="I62" i="1"/>
  <c r="H62" i="1"/>
  <c r="G62" i="1"/>
  <c r="I61" i="1"/>
  <c r="G61" i="1"/>
  <c r="H61" i="1" s="1"/>
  <c r="I60" i="1"/>
  <c r="H60" i="1"/>
  <c r="G60" i="1"/>
  <c r="I59" i="1"/>
  <c r="H59" i="1"/>
  <c r="G59" i="1"/>
  <c r="I58" i="1"/>
  <c r="H58" i="1"/>
  <c r="G58" i="1"/>
  <c r="I57" i="1"/>
  <c r="G57" i="1"/>
  <c r="H57" i="1" s="1"/>
  <c r="I56" i="1"/>
  <c r="H56" i="1"/>
  <c r="G56" i="1"/>
  <c r="I55" i="1"/>
  <c r="H55" i="1"/>
  <c r="G55" i="1"/>
  <c r="I54" i="1"/>
  <c r="H54" i="1"/>
  <c r="G54" i="1"/>
  <c r="I53" i="1"/>
  <c r="G53" i="1"/>
  <c r="H53" i="1" s="1"/>
  <c r="I52" i="1"/>
  <c r="H52" i="1"/>
  <c r="G52" i="1"/>
  <c r="I51" i="1"/>
  <c r="H51" i="1"/>
  <c r="G51" i="1"/>
  <c r="G50" i="1"/>
  <c r="I50" i="1" s="1"/>
  <c r="H49" i="1"/>
  <c r="G49" i="1"/>
  <c r="I49" i="1" s="1"/>
  <c r="I48" i="1"/>
  <c r="H48" i="1"/>
  <c r="G48" i="1"/>
  <c r="H47" i="1"/>
  <c r="G47" i="1"/>
  <c r="I47" i="1" s="1"/>
  <c r="G46" i="1"/>
  <c r="H46" i="1" s="1"/>
  <c r="I45" i="1"/>
  <c r="H45" i="1"/>
  <c r="G45" i="1"/>
  <c r="I44" i="1"/>
  <c r="H44" i="1"/>
  <c r="G44" i="1"/>
  <c r="I43" i="1"/>
  <c r="H43" i="1"/>
  <c r="G43" i="1"/>
  <c r="G42" i="1"/>
  <c r="I42" i="1" s="1"/>
  <c r="I41" i="1"/>
  <c r="H41" i="1"/>
  <c r="G41" i="1"/>
  <c r="I40" i="1"/>
  <c r="H40" i="1"/>
  <c r="G40" i="1"/>
  <c r="I39" i="1"/>
  <c r="H39" i="1"/>
  <c r="G39" i="1"/>
  <c r="G38" i="1"/>
  <c r="I38" i="1" s="1"/>
  <c r="I37" i="1"/>
  <c r="H37" i="1"/>
  <c r="G37" i="1"/>
  <c r="I36" i="1"/>
  <c r="H36" i="1"/>
  <c r="G36" i="1"/>
  <c r="I35" i="1"/>
  <c r="H35" i="1"/>
  <c r="G35" i="1"/>
  <c r="G34" i="1"/>
  <c r="I34" i="1" s="1"/>
  <c r="I33" i="1"/>
  <c r="H33" i="1"/>
  <c r="G33" i="1"/>
  <c r="I32" i="1"/>
  <c r="H32" i="1"/>
  <c r="G32" i="1"/>
  <c r="I31" i="1"/>
  <c r="H31" i="1"/>
  <c r="G31" i="1"/>
  <c r="G30" i="1"/>
  <c r="I30" i="1" s="1"/>
  <c r="I29" i="1"/>
  <c r="H29" i="1"/>
  <c r="G29" i="1"/>
  <c r="I28" i="1"/>
  <c r="H28" i="1"/>
  <c r="G28" i="1"/>
  <c r="I27" i="1"/>
  <c r="H27" i="1"/>
  <c r="G27" i="1"/>
  <c r="G26" i="1"/>
  <c r="I26" i="1" s="1"/>
  <c r="I25" i="1"/>
  <c r="H25" i="1"/>
  <c r="G25" i="1"/>
  <c r="I24" i="1"/>
  <c r="H24" i="1"/>
  <c r="G24" i="1"/>
  <c r="I23" i="1"/>
  <c r="H23" i="1"/>
  <c r="G23" i="1"/>
  <c r="G22" i="1"/>
  <c r="I22" i="1" s="1"/>
  <c r="I21" i="1"/>
  <c r="H21" i="1"/>
  <c r="G21" i="1"/>
  <c r="I20" i="1"/>
  <c r="H20" i="1"/>
  <c r="G20" i="1"/>
  <c r="I19" i="1"/>
  <c r="H19" i="1"/>
  <c r="G19" i="1"/>
  <c r="G18" i="1"/>
  <c r="I18" i="1" s="1"/>
  <c r="I17" i="1"/>
  <c r="H17" i="1"/>
  <c r="G17" i="1"/>
  <c r="I16" i="1"/>
  <c r="H16" i="1"/>
  <c r="G16" i="1"/>
  <c r="I15" i="1"/>
  <c r="H15" i="1"/>
  <c r="G15" i="1"/>
  <c r="G14" i="1"/>
  <c r="I14" i="1" s="1"/>
  <c r="I13" i="1"/>
  <c r="H13" i="1"/>
  <c r="G13" i="1"/>
  <c r="I12" i="1"/>
  <c r="H12" i="1"/>
  <c r="G12" i="1"/>
  <c r="I11" i="1"/>
  <c r="H11" i="1"/>
  <c r="G11" i="1"/>
  <c r="G10" i="1"/>
  <c r="I10" i="1" s="1"/>
  <c r="I9" i="1"/>
  <c r="H9" i="1"/>
  <c r="G9" i="1"/>
  <c r="I8" i="1"/>
  <c r="H8" i="1"/>
  <c r="G8" i="1"/>
  <c r="I7" i="1"/>
  <c r="H7" i="1"/>
  <c r="G7" i="1"/>
  <c r="G6" i="1"/>
  <c r="I6" i="1" s="1"/>
  <c r="I5" i="1"/>
  <c r="H5" i="1"/>
  <c r="G5" i="1"/>
  <c r="I4" i="1"/>
  <c r="H4" i="1"/>
  <c r="G4" i="1"/>
  <c r="I3" i="1"/>
  <c r="H3" i="1"/>
  <c r="G3" i="1"/>
  <c r="G2" i="1"/>
  <c r="I2" i="1" s="1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H42" i="1" l="1"/>
  <c r="H6" i="1"/>
  <c r="H14" i="1"/>
  <c r="H22" i="1"/>
  <c r="H26" i="1"/>
  <c r="H38" i="1"/>
  <c r="H161" i="1"/>
  <c r="H162" i="1"/>
  <c r="I46" i="1"/>
  <c r="H2" i="1"/>
  <c r="H10" i="1"/>
  <c r="H18" i="1"/>
  <c r="H30" i="1"/>
  <c r="H34" i="1"/>
</calcChain>
</file>

<file path=xl/sharedStrings.xml><?xml version="1.0" encoding="utf-8"?>
<sst xmlns="http://schemas.openxmlformats.org/spreadsheetml/2006/main" count="669" uniqueCount="38">
  <si>
    <t>dateVente</t>
  </si>
  <si>
    <t>Prod</t>
  </si>
  <si>
    <t>Qté</t>
  </si>
  <si>
    <t>PA</t>
  </si>
  <si>
    <t>PV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</si>
  <si>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</si>
  <si>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</si>
  <si>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</si>
  <si>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</si>
  <si>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</si>
  <si>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</si>
  <si>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</si>
  <si>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</si>
  <si>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</si>
  <si>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</si>
  <si>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</si>
  <si>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</si>
  <si>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</si>
  <si>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</si>
  <si>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</si>
  <si>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</si>
  <si>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</si>
  <si>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</si>
  <si>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</si>
  <si>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</si>
  <si>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Internet</t>
  </si>
  <si>
    <t>Poste express</t>
  </si>
  <si>
    <t>Téléphone</t>
  </si>
  <si>
    <t>Poste normal</t>
  </si>
  <si>
    <t>Magasin</t>
  </si>
  <si>
    <t>Retrait</t>
  </si>
  <si>
    <t>Commercial</t>
  </si>
  <si>
    <t>Frêt avion</t>
  </si>
  <si>
    <t>Canal</t>
  </si>
  <si>
    <t>Livraison</t>
  </si>
  <si>
    <t>Total Vente</t>
  </si>
  <si>
    <t>Marge</t>
  </si>
  <si>
    <t>Revendeur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</si>
</sst>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4" xfId="0" applyBorder="1"/>
    <xf numFmtId="164" fontId="0" fillId="0" borderId="0" xfId="1" applyNumberFormat="1" applyFont="1"/>
  </cellXfs>
  <cellStyles count="2">
    <cellStyle name="Monétaire" xfId="1" builtinId="4"/>
    <cellStyle name="Normal" xfId="0" builtinId="0"/>
  </cellStyles>
  <dxfs count="9">
    <dxf>
      <numFmt numFmtId="164" formatCode="_-* #,##0\ &quot;CHF&quot;_-;\-* #,##0\ &quot;CHF&quot;_-;_-* &quot;-&quot;??\ &quot;CHF&quot;_-;_-@_-"/>
    </dxf>
    <dxf>
      <numFmt numFmtId="164" formatCode="_-* #,##0\ &quot;CHF&quot;_-;\-* #,##0\ &quot;CHF&quot;_-;_-* &quot;-&quot;??\ &quot;CHF&quot;_-;_-@_-"/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337A0-20D2-449D-8D99-A6AA9DA5EE09}" name="Tableau1" displayName="Tableau1" ref="A1:I164" totalsRowShown="0">
  <autoFilter ref="A1:I164" xr:uid="{2D4337A0-20D2-449D-8D99-A6AA9DA5EE09}"/>
  <tableColumns count="9">
    <tableColumn id="5" xr3:uid="{E56A297F-C7A3-4349-8950-A1F27D0B9EBE}" name="dateVente" dataDxfId="8"/>
    <tableColumn id="1" xr3:uid="{284A1C7B-4DF3-4C59-ABF5-9B8D4A35B5AB}" name="Prod" dataDxfId="7"/>
    <tableColumn id="8" xr3:uid="{84B303D5-10CA-4A87-9CDB-0603E8C109DE}" name="Canal" dataDxfId="6"/>
    <tableColumn id="9" xr3:uid="{C74424A0-5DBA-4181-8A85-31412446B5F8}" name="Livraison" dataDxfId="5"/>
    <tableColumn id="2" xr3:uid="{BE05E45B-F29C-4958-801C-2DD0645A023C}" name="Qté" dataDxfId="4"/>
    <tableColumn id="3" xr3:uid="{3B62C874-54F8-45CE-9E65-7E38FB63C3FD}" name="PA" dataDxfId="3"/>
    <tableColumn id="4" xr3:uid="{0D3DFEFB-3428-4CE2-8564-E4D803DAAF5B}" name="PV" dataDxfId="2">
      <calculatedColumnFormula>INT(F2*1.4)</calculatedColumnFormula>
    </tableColumn>
    <tableColumn id="6" xr3:uid="{C6D45D15-AC28-4EB5-8D51-FBC8BB5D0D44}" name="Total Vente" dataDxfId="1" dataCellStyle="Monétaire">
      <calculatedColumnFormula>Tableau1[[#This Row],[PV]]*Tableau1[[#This Row],[Qté]]</calculatedColumnFormula>
    </tableColumn>
    <tableColumn id="7" xr3:uid="{25D8E8B4-39D4-40C6-B792-1251996B4619}" name="Marge" dataDxfId="0" dataCellStyle="Monétaire">
      <calculatedColumnFormula>Tableau1[[#This Row],[Qté]]*(Tableau1[[#This Row],[PV]]-Tableau1[[#This Row],[PA]])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151CFF2-64A8-4F7A-82CB-F0B4EAC59D0A}">
  <we:reference id="wa200005271" version="2.5.5.0" store="fr-F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D90A524-ED6B-4EE7-A7E5-10B27A492C63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CEE7-687B-4C7D-B4D7-109E0D940271}">
  <dimension ref="A1:I164"/>
  <sheetViews>
    <sheetView tabSelected="1" topLeftCell="A50" workbookViewId="0">
      <selection sqref="A1:I164"/>
    </sheetView>
  </sheetViews>
  <sheetFormatPr baseColWidth="10" defaultRowHeight="15" x14ac:dyDescent="0.25"/>
  <cols>
    <col min="1" max="1" width="12.7109375" bestFit="1" customWidth="1"/>
    <col min="5" max="7" width="11.7109375" customWidth="1"/>
    <col min="11" max="11" width="11.42578125" customWidth="1"/>
  </cols>
  <sheetData>
    <row r="1" spans="1:9" x14ac:dyDescent="0.25">
      <c r="A1" s="1" t="s">
        <v>0</v>
      </c>
      <c r="B1" s="2" t="s">
        <v>1</v>
      </c>
      <c r="C1" s="2" t="s">
        <v>33</v>
      </c>
      <c r="D1" s="2" t="s">
        <v>34</v>
      </c>
      <c r="E1" s="2" t="s">
        <v>2</v>
      </c>
      <c r="F1" s="2" t="s">
        <v>3</v>
      </c>
      <c r="G1" s="2" t="s">
        <v>4</v>
      </c>
      <c r="H1" s="7" t="s">
        <v>35</v>
      </c>
      <c r="I1" s="7" t="s">
        <v>36</v>
      </c>
    </row>
    <row r="2" spans="1:9" x14ac:dyDescent="0.25">
      <c r="A2" s="3">
        <v>44208</v>
      </c>
      <c r="B2" s="4" t="s">
        <v>5</v>
      </c>
      <c r="C2" s="4" t="s">
        <v>25</v>
      </c>
      <c r="D2" s="4" t="s">
        <v>26</v>
      </c>
      <c r="E2" s="4">
        <v>8</v>
      </c>
      <c r="F2" s="4">
        <v>360</v>
      </c>
      <c r="G2" s="4">
        <f t="shared" ref="G2:G65" si="0">INT(F2*1.4)</f>
        <v>504</v>
      </c>
      <c r="H2" s="7">
        <f>Tableau1[[#This Row],[PV]]*Tableau1[[#This Row],[Qté]]</f>
        <v>4032</v>
      </c>
      <c r="I2" s="7">
        <f>Tableau1[[#This Row],[Qté]]*(Tableau1[[#This Row],[PV]]-Tableau1[[#This Row],[PA]])</f>
        <v>1152</v>
      </c>
    </row>
    <row r="3" spans="1:9" x14ac:dyDescent="0.25">
      <c r="A3" s="3">
        <v>44208</v>
      </c>
      <c r="B3" s="4" t="s">
        <v>5</v>
      </c>
      <c r="C3" s="4" t="s">
        <v>27</v>
      </c>
      <c r="D3" s="4" t="s">
        <v>28</v>
      </c>
      <c r="E3" s="4">
        <v>4</v>
      </c>
      <c r="F3" s="4">
        <v>360</v>
      </c>
      <c r="G3" s="4">
        <f t="shared" si="0"/>
        <v>504</v>
      </c>
      <c r="H3" s="7">
        <f>Tableau1[[#This Row],[PV]]*Tableau1[[#This Row],[Qté]]</f>
        <v>2016</v>
      </c>
      <c r="I3" s="7">
        <f>Tableau1[[#This Row],[Qté]]*(Tableau1[[#This Row],[PV]]-Tableau1[[#This Row],[PA]])</f>
        <v>576</v>
      </c>
    </row>
    <row r="4" spans="1:9" x14ac:dyDescent="0.25">
      <c r="A4" s="3">
        <v>44215</v>
      </c>
      <c r="B4" s="4" t="s">
        <v>6</v>
      </c>
      <c r="C4" s="4" t="s">
        <v>29</v>
      </c>
      <c r="D4" s="4" t="s">
        <v>26</v>
      </c>
      <c r="E4" s="4">
        <v>7</v>
      </c>
      <c r="F4" s="4">
        <v>228</v>
      </c>
      <c r="G4" s="4">
        <f t="shared" si="0"/>
        <v>319</v>
      </c>
      <c r="H4" s="7">
        <f>Tableau1[[#This Row],[PV]]*Tableau1[[#This Row],[Qté]]</f>
        <v>2233</v>
      </c>
      <c r="I4" s="7">
        <f>Tableau1[[#This Row],[Qté]]*(Tableau1[[#This Row],[PV]]-Tableau1[[#This Row],[PA]])</f>
        <v>637</v>
      </c>
    </row>
    <row r="5" spans="1:9" x14ac:dyDescent="0.25">
      <c r="A5" s="3">
        <v>44215</v>
      </c>
      <c r="B5" s="4" t="s">
        <v>6</v>
      </c>
      <c r="C5" s="4" t="s">
        <v>27</v>
      </c>
      <c r="D5" s="4" t="s">
        <v>30</v>
      </c>
      <c r="E5" s="4">
        <v>2</v>
      </c>
      <c r="F5" s="4">
        <v>228</v>
      </c>
      <c r="G5" s="4">
        <f t="shared" si="0"/>
        <v>319</v>
      </c>
      <c r="H5" s="7">
        <f>Tableau1[[#This Row],[PV]]*Tableau1[[#This Row],[Qté]]</f>
        <v>638</v>
      </c>
      <c r="I5" s="7">
        <f>Tableau1[[#This Row],[Qté]]*(Tableau1[[#This Row],[PV]]-Tableau1[[#This Row],[PA]])</f>
        <v>182</v>
      </c>
    </row>
    <row r="6" spans="1:9" x14ac:dyDescent="0.25">
      <c r="A6" s="3">
        <v>44222</v>
      </c>
      <c r="B6" s="4" t="s">
        <v>7</v>
      </c>
      <c r="C6" s="4" t="s">
        <v>31</v>
      </c>
      <c r="D6" s="4" t="s">
        <v>37</v>
      </c>
      <c r="E6" s="4">
        <v>9</v>
      </c>
      <c r="F6" s="4">
        <v>474</v>
      </c>
      <c r="G6" s="4">
        <f t="shared" si="0"/>
        <v>663</v>
      </c>
      <c r="H6" s="7">
        <f>Tableau1[[#This Row],[PV]]*Tableau1[[#This Row],[Qté]]</f>
        <v>5967</v>
      </c>
      <c r="I6" s="7">
        <f>Tableau1[[#This Row],[Qté]]*(Tableau1[[#This Row],[PV]]-Tableau1[[#This Row],[PA]])</f>
        <v>1701</v>
      </c>
    </row>
    <row r="7" spans="1:9" x14ac:dyDescent="0.25">
      <c r="A7" s="3">
        <v>44222</v>
      </c>
      <c r="B7" s="4" t="s">
        <v>7</v>
      </c>
      <c r="C7" s="4" t="s">
        <v>25</v>
      </c>
      <c r="D7" s="4" t="s">
        <v>37</v>
      </c>
      <c r="E7" s="4">
        <v>5</v>
      </c>
      <c r="F7" s="4">
        <v>474</v>
      </c>
      <c r="G7" s="4">
        <f t="shared" si="0"/>
        <v>663</v>
      </c>
      <c r="H7" s="7">
        <f>Tableau1[[#This Row],[PV]]*Tableau1[[#This Row],[Qté]]</f>
        <v>3315</v>
      </c>
      <c r="I7" s="7">
        <f>Tableau1[[#This Row],[Qté]]*(Tableau1[[#This Row],[PV]]-Tableau1[[#This Row],[PA]])</f>
        <v>945</v>
      </c>
    </row>
    <row r="8" spans="1:9" x14ac:dyDescent="0.25">
      <c r="A8" s="3">
        <v>44229</v>
      </c>
      <c r="B8" s="4" t="s">
        <v>8</v>
      </c>
      <c r="C8" s="4" t="s">
        <v>27</v>
      </c>
      <c r="D8" s="4" t="s">
        <v>32</v>
      </c>
      <c r="E8" s="4">
        <v>11</v>
      </c>
      <c r="F8" s="4">
        <v>206</v>
      </c>
      <c r="G8" s="4">
        <f t="shared" si="0"/>
        <v>288</v>
      </c>
      <c r="H8" s="7">
        <f>Tableau1[[#This Row],[PV]]*Tableau1[[#This Row],[Qté]]</f>
        <v>3168</v>
      </c>
      <c r="I8" s="7">
        <f>Tableau1[[#This Row],[Qté]]*(Tableau1[[#This Row],[PV]]-Tableau1[[#This Row],[PA]])</f>
        <v>902</v>
      </c>
    </row>
    <row r="9" spans="1:9" x14ac:dyDescent="0.25">
      <c r="A9" s="3">
        <v>44229</v>
      </c>
      <c r="B9" s="4" t="s">
        <v>8</v>
      </c>
      <c r="C9" s="4" t="s">
        <v>31</v>
      </c>
      <c r="D9" s="4" t="s">
        <v>32</v>
      </c>
      <c r="E9" s="4">
        <v>12</v>
      </c>
      <c r="F9" s="4">
        <v>206</v>
      </c>
      <c r="G9" s="4">
        <f t="shared" si="0"/>
        <v>288</v>
      </c>
      <c r="H9" s="7">
        <f>Tableau1[[#This Row],[PV]]*Tableau1[[#This Row],[Qté]]</f>
        <v>3456</v>
      </c>
      <c r="I9" s="7">
        <f>Tableau1[[#This Row],[Qté]]*(Tableau1[[#This Row],[PV]]-Tableau1[[#This Row],[PA]])</f>
        <v>984</v>
      </c>
    </row>
    <row r="10" spans="1:9" x14ac:dyDescent="0.25">
      <c r="A10" s="3">
        <v>44236</v>
      </c>
      <c r="B10" s="4" t="s">
        <v>9</v>
      </c>
      <c r="C10" s="4" t="s">
        <v>29</v>
      </c>
      <c r="D10" s="4" t="s">
        <v>28</v>
      </c>
      <c r="E10" s="4">
        <v>23</v>
      </c>
      <c r="F10" s="4">
        <v>278</v>
      </c>
      <c r="G10" s="4">
        <f t="shared" si="0"/>
        <v>389</v>
      </c>
      <c r="H10" s="7">
        <f>Tableau1[[#This Row],[PV]]*Tableau1[[#This Row],[Qté]]</f>
        <v>8947</v>
      </c>
      <c r="I10" s="7">
        <f>Tableau1[[#This Row],[Qté]]*(Tableau1[[#This Row],[PV]]-Tableau1[[#This Row],[PA]])</f>
        <v>2553</v>
      </c>
    </row>
    <row r="11" spans="1:9" x14ac:dyDescent="0.25">
      <c r="A11" s="3">
        <v>44236</v>
      </c>
      <c r="B11" s="4" t="s">
        <v>9</v>
      </c>
      <c r="C11" s="4" t="s">
        <v>27</v>
      </c>
      <c r="D11" s="4" t="s">
        <v>26</v>
      </c>
      <c r="E11" s="4">
        <v>14</v>
      </c>
      <c r="F11" s="4">
        <v>278</v>
      </c>
      <c r="G11" s="4">
        <f t="shared" si="0"/>
        <v>389</v>
      </c>
      <c r="H11" s="7">
        <f>Tableau1[[#This Row],[PV]]*Tableau1[[#This Row],[Qté]]</f>
        <v>5446</v>
      </c>
      <c r="I11" s="7">
        <f>Tableau1[[#This Row],[Qté]]*(Tableau1[[#This Row],[PV]]-Tableau1[[#This Row],[PA]])</f>
        <v>1554</v>
      </c>
    </row>
    <row r="12" spans="1:9" x14ac:dyDescent="0.25">
      <c r="A12" s="3">
        <v>44243</v>
      </c>
      <c r="B12" s="4" t="s">
        <v>10</v>
      </c>
      <c r="C12" s="4" t="s">
        <v>31</v>
      </c>
      <c r="D12" s="4" t="s">
        <v>37</v>
      </c>
      <c r="E12" s="4">
        <v>20</v>
      </c>
      <c r="F12" s="4">
        <v>255</v>
      </c>
      <c r="G12" s="4">
        <f t="shared" si="0"/>
        <v>357</v>
      </c>
      <c r="H12" s="7">
        <f>Tableau1[[#This Row],[PV]]*Tableau1[[#This Row],[Qté]]</f>
        <v>7140</v>
      </c>
      <c r="I12" s="7">
        <f>Tableau1[[#This Row],[Qté]]*(Tableau1[[#This Row],[PV]]-Tableau1[[#This Row],[PA]])</f>
        <v>2040</v>
      </c>
    </row>
    <row r="13" spans="1:9" x14ac:dyDescent="0.25">
      <c r="A13" s="3">
        <v>44243</v>
      </c>
      <c r="B13" s="4" t="s">
        <v>10</v>
      </c>
      <c r="C13" s="4" t="s">
        <v>27</v>
      </c>
      <c r="D13" s="4" t="s">
        <v>28</v>
      </c>
      <c r="E13" s="4">
        <v>5</v>
      </c>
      <c r="F13" s="4">
        <v>255</v>
      </c>
      <c r="G13" s="4">
        <f t="shared" si="0"/>
        <v>357</v>
      </c>
      <c r="H13" s="7">
        <f>Tableau1[[#This Row],[PV]]*Tableau1[[#This Row],[Qté]]</f>
        <v>1785</v>
      </c>
      <c r="I13" s="7">
        <f>Tableau1[[#This Row],[Qté]]*(Tableau1[[#This Row],[PV]]-Tableau1[[#This Row],[PA]])</f>
        <v>510</v>
      </c>
    </row>
    <row r="14" spans="1:9" x14ac:dyDescent="0.25">
      <c r="A14" s="3">
        <v>44250</v>
      </c>
      <c r="B14" s="4" t="s">
        <v>11</v>
      </c>
      <c r="C14" s="4" t="s">
        <v>27</v>
      </c>
      <c r="D14" s="4" t="s">
        <v>32</v>
      </c>
      <c r="E14" s="4">
        <v>12</v>
      </c>
      <c r="F14" s="4">
        <v>472</v>
      </c>
      <c r="G14" s="4">
        <f t="shared" si="0"/>
        <v>660</v>
      </c>
      <c r="H14" s="7">
        <f>Tableau1[[#This Row],[PV]]*Tableau1[[#This Row],[Qté]]</f>
        <v>7920</v>
      </c>
      <c r="I14" s="7">
        <f>Tableau1[[#This Row],[Qté]]*(Tableau1[[#This Row],[PV]]-Tableau1[[#This Row],[PA]])</f>
        <v>2256</v>
      </c>
    </row>
    <row r="15" spans="1:9" x14ac:dyDescent="0.25">
      <c r="A15" s="3">
        <v>44250</v>
      </c>
      <c r="B15" s="4" t="s">
        <v>11</v>
      </c>
      <c r="C15" s="4" t="s">
        <v>27</v>
      </c>
      <c r="D15" s="4" t="s">
        <v>26</v>
      </c>
      <c r="E15" s="4">
        <v>12</v>
      </c>
      <c r="F15" s="4">
        <v>472</v>
      </c>
      <c r="G15" s="4">
        <f t="shared" si="0"/>
        <v>660</v>
      </c>
      <c r="H15" s="7">
        <f>Tableau1[[#This Row],[PV]]*Tableau1[[#This Row],[Qté]]</f>
        <v>7920</v>
      </c>
      <c r="I15" s="7">
        <f>Tableau1[[#This Row],[Qté]]*(Tableau1[[#This Row],[PV]]-Tableau1[[#This Row],[PA]])</f>
        <v>2256</v>
      </c>
    </row>
    <row r="16" spans="1:9" x14ac:dyDescent="0.25">
      <c r="A16" s="3">
        <v>44257</v>
      </c>
      <c r="B16" s="4" t="s">
        <v>12</v>
      </c>
      <c r="C16" s="4" t="s">
        <v>25</v>
      </c>
      <c r="D16" s="4" t="s">
        <v>28</v>
      </c>
      <c r="E16" s="4">
        <v>10</v>
      </c>
      <c r="F16" s="4">
        <v>213</v>
      </c>
      <c r="G16" s="4">
        <f t="shared" si="0"/>
        <v>298</v>
      </c>
      <c r="H16" s="7">
        <f>Tableau1[[#This Row],[PV]]*Tableau1[[#This Row],[Qté]]</f>
        <v>2980</v>
      </c>
      <c r="I16" s="7">
        <f>Tableau1[[#This Row],[Qté]]*(Tableau1[[#This Row],[PV]]-Tableau1[[#This Row],[PA]])</f>
        <v>850</v>
      </c>
    </row>
    <row r="17" spans="1:9" x14ac:dyDescent="0.25">
      <c r="A17" s="3">
        <v>44257</v>
      </c>
      <c r="B17" s="4" t="s">
        <v>12</v>
      </c>
      <c r="C17" s="4" t="s">
        <v>29</v>
      </c>
      <c r="D17" s="4" t="s">
        <v>32</v>
      </c>
      <c r="E17" s="4">
        <v>5</v>
      </c>
      <c r="F17" s="4">
        <v>213</v>
      </c>
      <c r="G17" s="4">
        <f t="shared" si="0"/>
        <v>298</v>
      </c>
      <c r="H17" s="7">
        <f>Tableau1[[#This Row],[PV]]*Tableau1[[#This Row],[Qté]]</f>
        <v>1490</v>
      </c>
      <c r="I17" s="7">
        <f>Tableau1[[#This Row],[Qté]]*(Tableau1[[#This Row],[PV]]-Tableau1[[#This Row],[PA]])</f>
        <v>425</v>
      </c>
    </row>
    <row r="18" spans="1:9" x14ac:dyDescent="0.25">
      <c r="A18" s="3">
        <v>44264</v>
      </c>
      <c r="B18" s="4" t="s">
        <v>13</v>
      </c>
      <c r="C18" s="4" t="s">
        <v>25</v>
      </c>
      <c r="D18" s="4" t="s">
        <v>37</v>
      </c>
      <c r="E18" s="4">
        <v>24</v>
      </c>
      <c r="F18" s="4">
        <v>478</v>
      </c>
      <c r="G18" s="4">
        <f t="shared" si="0"/>
        <v>669</v>
      </c>
      <c r="H18" s="7">
        <f>Tableau1[[#This Row],[PV]]*Tableau1[[#This Row],[Qté]]</f>
        <v>16056</v>
      </c>
      <c r="I18" s="7">
        <f>Tableau1[[#This Row],[Qté]]*(Tableau1[[#This Row],[PV]]-Tableau1[[#This Row],[PA]])</f>
        <v>4584</v>
      </c>
    </row>
    <row r="19" spans="1:9" x14ac:dyDescent="0.25">
      <c r="A19" s="3">
        <v>44264</v>
      </c>
      <c r="B19" s="4" t="s">
        <v>13</v>
      </c>
      <c r="C19" s="4" t="s">
        <v>31</v>
      </c>
      <c r="D19" s="4" t="s">
        <v>32</v>
      </c>
      <c r="E19" s="4">
        <v>10</v>
      </c>
      <c r="F19" s="4">
        <v>478</v>
      </c>
      <c r="G19" s="4">
        <f t="shared" si="0"/>
        <v>669</v>
      </c>
      <c r="H19" s="7">
        <f>Tableau1[[#This Row],[PV]]*Tableau1[[#This Row],[Qté]]</f>
        <v>6690</v>
      </c>
      <c r="I19" s="7">
        <f>Tableau1[[#This Row],[Qté]]*(Tableau1[[#This Row],[PV]]-Tableau1[[#This Row],[PA]])</f>
        <v>1910</v>
      </c>
    </row>
    <row r="20" spans="1:9" x14ac:dyDescent="0.25">
      <c r="A20" s="3">
        <v>44271</v>
      </c>
      <c r="B20" s="4" t="s">
        <v>14</v>
      </c>
      <c r="C20" s="4" t="s">
        <v>25</v>
      </c>
      <c r="D20" s="4" t="s">
        <v>30</v>
      </c>
      <c r="E20" s="4">
        <v>14</v>
      </c>
      <c r="F20" s="4">
        <v>362</v>
      </c>
      <c r="G20" s="4">
        <f t="shared" si="0"/>
        <v>506</v>
      </c>
      <c r="H20" s="7">
        <f>Tableau1[[#This Row],[PV]]*Tableau1[[#This Row],[Qté]]</f>
        <v>7084</v>
      </c>
      <c r="I20" s="7">
        <f>Tableau1[[#This Row],[Qté]]*(Tableau1[[#This Row],[PV]]-Tableau1[[#This Row],[PA]])</f>
        <v>2016</v>
      </c>
    </row>
    <row r="21" spans="1:9" x14ac:dyDescent="0.25">
      <c r="A21" s="3">
        <v>44271</v>
      </c>
      <c r="B21" s="4" t="s">
        <v>14</v>
      </c>
      <c r="C21" s="4" t="s">
        <v>25</v>
      </c>
      <c r="D21" s="4" t="s">
        <v>37</v>
      </c>
      <c r="E21" s="4">
        <v>19</v>
      </c>
      <c r="F21" s="4">
        <v>362</v>
      </c>
      <c r="G21" s="4">
        <f t="shared" si="0"/>
        <v>506</v>
      </c>
      <c r="H21" s="7">
        <f>Tableau1[[#This Row],[PV]]*Tableau1[[#This Row],[Qté]]</f>
        <v>9614</v>
      </c>
      <c r="I21" s="7">
        <f>Tableau1[[#This Row],[Qté]]*(Tableau1[[#This Row],[PV]]-Tableau1[[#This Row],[PA]])</f>
        <v>2736</v>
      </c>
    </row>
    <row r="22" spans="1:9" x14ac:dyDescent="0.25">
      <c r="A22" s="3">
        <v>44278</v>
      </c>
      <c r="B22" s="4" t="s">
        <v>15</v>
      </c>
      <c r="C22" s="4" t="s">
        <v>29</v>
      </c>
      <c r="D22" s="4" t="s">
        <v>37</v>
      </c>
      <c r="E22" s="4">
        <v>13</v>
      </c>
      <c r="F22" s="4">
        <v>434</v>
      </c>
      <c r="G22" s="4">
        <f t="shared" si="0"/>
        <v>607</v>
      </c>
      <c r="H22" s="7">
        <f>Tableau1[[#This Row],[PV]]*Tableau1[[#This Row],[Qté]]</f>
        <v>7891</v>
      </c>
      <c r="I22" s="7">
        <f>Tableau1[[#This Row],[Qté]]*(Tableau1[[#This Row],[PV]]-Tableau1[[#This Row],[PA]])</f>
        <v>2249</v>
      </c>
    </row>
    <row r="23" spans="1:9" x14ac:dyDescent="0.25">
      <c r="A23" s="3">
        <v>44278</v>
      </c>
      <c r="B23" s="4" t="s">
        <v>15</v>
      </c>
      <c r="C23" s="4" t="s">
        <v>29</v>
      </c>
      <c r="D23" s="4" t="s">
        <v>37</v>
      </c>
      <c r="E23" s="4">
        <v>14</v>
      </c>
      <c r="F23" s="4">
        <v>434</v>
      </c>
      <c r="G23" s="4">
        <f t="shared" si="0"/>
        <v>607</v>
      </c>
      <c r="H23" s="7">
        <f>Tableau1[[#This Row],[PV]]*Tableau1[[#This Row],[Qté]]</f>
        <v>8498</v>
      </c>
      <c r="I23" s="7">
        <f>Tableau1[[#This Row],[Qté]]*(Tableau1[[#This Row],[PV]]-Tableau1[[#This Row],[PA]])</f>
        <v>2422</v>
      </c>
    </row>
    <row r="24" spans="1:9" x14ac:dyDescent="0.25">
      <c r="A24" s="3">
        <v>44285</v>
      </c>
      <c r="B24" s="4" t="s">
        <v>16</v>
      </c>
      <c r="C24" s="4" t="s">
        <v>29</v>
      </c>
      <c r="D24" s="4" t="s">
        <v>30</v>
      </c>
      <c r="E24" s="4">
        <v>4</v>
      </c>
      <c r="F24" s="4">
        <v>407</v>
      </c>
      <c r="G24" s="4">
        <f t="shared" si="0"/>
        <v>569</v>
      </c>
      <c r="H24" s="7">
        <f>Tableau1[[#This Row],[PV]]*Tableau1[[#This Row],[Qté]]</f>
        <v>2276</v>
      </c>
      <c r="I24" s="7">
        <f>Tableau1[[#This Row],[Qté]]*(Tableau1[[#This Row],[PV]]-Tableau1[[#This Row],[PA]])</f>
        <v>648</v>
      </c>
    </row>
    <row r="25" spans="1:9" x14ac:dyDescent="0.25">
      <c r="A25" s="3">
        <v>44285</v>
      </c>
      <c r="B25" s="4" t="s">
        <v>16</v>
      </c>
      <c r="C25" s="4" t="s">
        <v>29</v>
      </c>
      <c r="D25" s="4" t="s">
        <v>32</v>
      </c>
      <c r="E25" s="4">
        <v>8</v>
      </c>
      <c r="F25" s="4">
        <v>407</v>
      </c>
      <c r="G25" s="4">
        <f t="shared" si="0"/>
        <v>569</v>
      </c>
      <c r="H25" s="7">
        <f>Tableau1[[#This Row],[PV]]*Tableau1[[#This Row],[Qté]]</f>
        <v>4552</v>
      </c>
      <c r="I25" s="7">
        <f>Tableau1[[#This Row],[Qté]]*(Tableau1[[#This Row],[PV]]-Tableau1[[#This Row],[PA]])</f>
        <v>1296</v>
      </c>
    </row>
    <row r="26" spans="1:9" x14ac:dyDescent="0.25">
      <c r="A26" s="3">
        <v>44292</v>
      </c>
      <c r="B26" s="4" t="s">
        <v>17</v>
      </c>
      <c r="C26" s="4" t="s">
        <v>25</v>
      </c>
      <c r="D26" s="4" t="s">
        <v>28</v>
      </c>
      <c r="E26" s="4">
        <v>14</v>
      </c>
      <c r="F26" s="4">
        <v>265</v>
      </c>
      <c r="G26" s="4">
        <f t="shared" si="0"/>
        <v>371</v>
      </c>
      <c r="H26" s="7">
        <f>Tableau1[[#This Row],[PV]]*Tableau1[[#This Row],[Qté]]</f>
        <v>5194</v>
      </c>
      <c r="I26" s="7">
        <f>Tableau1[[#This Row],[Qté]]*(Tableau1[[#This Row],[PV]]-Tableau1[[#This Row],[PA]])</f>
        <v>1484</v>
      </c>
    </row>
    <row r="27" spans="1:9" x14ac:dyDescent="0.25">
      <c r="A27" s="3">
        <v>44292</v>
      </c>
      <c r="B27" s="4" t="s">
        <v>5</v>
      </c>
      <c r="C27" s="4" t="s">
        <v>27</v>
      </c>
      <c r="D27" s="4" t="s">
        <v>28</v>
      </c>
      <c r="E27" s="4">
        <v>10</v>
      </c>
      <c r="F27" s="4">
        <v>360</v>
      </c>
      <c r="G27" s="4">
        <f t="shared" si="0"/>
        <v>504</v>
      </c>
      <c r="H27" s="7">
        <f>Tableau1[[#This Row],[PV]]*Tableau1[[#This Row],[Qté]]</f>
        <v>5040</v>
      </c>
      <c r="I27" s="7">
        <f>Tableau1[[#This Row],[Qté]]*(Tableau1[[#This Row],[PV]]-Tableau1[[#This Row],[PA]])</f>
        <v>1440</v>
      </c>
    </row>
    <row r="28" spans="1:9" x14ac:dyDescent="0.25">
      <c r="A28" s="3">
        <v>44299</v>
      </c>
      <c r="B28" s="4" t="s">
        <v>18</v>
      </c>
      <c r="C28" s="4" t="s">
        <v>31</v>
      </c>
      <c r="D28" s="4" t="s">
        <v>26</v>
      </c>
      <c r="E28" s="4">
        <v>5</v>
      </c>
      <c r="F28" s="4">
        <v>427</v>
      </c>
      <c r="G28" s="4">
        <f t="shared" si="0"/>
        <v>597</v>
      </c>
      <c r="H28" s="7">
        <f>Tableau1[[#This Row],[PV]]*Tableau1[[#This Row],[Qté]]</f>
        <v>2985</v>
      </c>
      <c r="I28" s="7">
        <f>Tableau1[[#This Row],[Qté]]*(Tableau1[[#This Row],[PV]]-Tableau1[[#This Row],[PA]])</f>
        <v>850</v>
      </c>
    </row>
    <row r="29" spans="1:9" x14ac:dyDescent="0.25">
      <c r="A29" s="3">
        <v>44299</v>
      </c>
      <c r="B29" s="4" t="s">
        <v>6</v>
      </c>
      <c r="C29" s="4" t="s">
        <v>29</v>
      </c>
      <c r="D29" s="4" t="s">
        <v>26</v>
      </c>
      <c r="E29" s="4">
        <v>13</v>
      </c>
      <c r="F29" s="4">
        <v>228</v>
      </c>
      <c r="G29" s="4">
        <f t="shared" si="0"/>
        <v>319</v>
      </c>
      <c r="H29" s="7">
        <f>Tableau1[[#This Row],[PV]]*Tableau1[[#This Row],[Qté]]</f>
        <v>4147</v>
      </c>
      <c r="I29" s="7">
        <f>Tableau1[[#This Row],[Qté]]*(Tableau1[[#This Row],[PV]]-Tableau1[[#This Row],[PA]])</f>
        <v>1183</v>
      </c>
    </row>
    <row r="30" spans="1:9" x14ac:dyDescent="0.25">
      <c r="A30" s="3">
        <v>44306</v>
      </c>
      <c r="B30" s="4" t="s">
        <v>19</v>
      </c>
      <c r="C30" s="4" t="s">
        <v>25</v>
      </c>
      <c r="D30" s="4" t="s">
        <v>32</v>
      </c>
      <c r="E30" s="4">
        <v>12</v>
      </c>
      <c r="F30" s="4">
        <v>224</v>
      </c>
      <c r="G30" s="4">
        <f t="shared" si="0"/>
        <v>313</v>
      </c>
      <c r="H30" s="7">
        <f>Tableau1[[#This Row],[PV]]*Tableau1[[#This Row],[Qté]]</f>
        <v>3756</v>
      </c>
      <c r="I30" s="7">
        <f>Tableau1[[#This Row],[Qté]]*(Tableau1[[#This Row],[PV]]-Tableau1[[#This Row],[PA]])</f>
        <v>1068</v>
      </c>
    </row>
    <row r="31" spans="1:9" x14ac:dyDescent="0.25">
      <c r="A31" s="3">
        <v>44306</v>
      </c>
      <c r="B31" s="4" t="s">
        <v>7</v>
      </c>
      <c r="C31" s="4" t="s">
        <v>29</v>
      </c>
      <c r="D31" s="4" t="s">
        <v>37</v>
      </c>
      <c r="E31" s="4">
        <v>5</v>
      </c>
      <c r="F31" s="4">
        <v>474</v>
      </c>
      <c r="G31" s="4">
        <f t="shared" si="0"/>
        <v>663</v>
      </c>
      <c r="H31" s="7">
        <f>Tableau1[[#This Row],[PV]]*Tableau1[[#This Row],[Qté]]</f>
        <v>3315</v>
      </c>
      <c r="I31" s="7">
        <f>Tableau1[[#This Row],[Qté]]*(Tableau1[[#This Row],[PV]]-Tableau1[[#This Row],[PA]])</f>
        <v>945</v>
      </c>
    </row>
    <row r="32" spans="1:9" x14ac:dyDescent="0.25">
      <c r="A32" s="3">
        <v>44313</v>
      </c>
      <c r="B32" s="4" t="s">
        <v>20</v>
      </c>
      <c r="C32" s="4" t="s">
        <v>25</v>
      </c>
      <c r="D32" s="4" t="s">
        <v>26</v>
      </c>
      <c r="E32" s="4">
        <v>5</v>
      </c>
      <c r="F32" s="4">
        <v>270</v>
      </c>
      <c r="G32" s="4">
        <f t="shared" si="0"/>
        <v>378</v>
      </c>
      <c r="H32" s="7">
        <f>Tableau1[[#This Row],[PV]]*Tableau1[[#This Row],[Qté]]</f>
        <v>1890</v>
      </c>
      <c r="I32" s="7">
        <f>Tableau1[[#This Row],[Qté]]*(Tableau1[[#This Row],[PV]]-Tableau1[[#This Row],[PA]])</f>
        <v>540</v>
      </c>
    </row>
    <row r="33" spans="1:9" x14ac:dyDescent="0.25">
      <c r="A33" s="3">
        <v>44313</v>
      </c>
      <c r="B33" s="4" t="s">
        <v>8</v>
      </c>
      <c r="C33" s="4" t="s">
        <v>31</v>
      </c>
      <c r="D33" s="4" t="s">
        <v>30</v>
      </c>
      <c r="E33" s="4">
        <v>8</v>
      </c>
      <c r="F33" s="4">
        <v>206</v>
      </c>
      <c r="G33" s="4">
        <f t="shared" si="0"/>
        <v>288</v>
      </c>
      <c r="H33" s="7">
        <f>Tableau1[[#This Row],[PV]]*Tableau1[[#This Row],[Qté]]</f>
        <v>2304</v>
      </c>
      <c r="I33" s="7">
        <f>Tableau1[[#This Row],[Qté]]*(Tableau1[[#This Row],[PV]]-Tableau1[[#This Row],[PA]])</f>
        <v>656</v>
      </c>
    </row>
    <row r="34" spans="1:9" x14ac:dyDescent="0.25">
      <c r="A34" s="3">
        <v>44320</v>
      </c>
      <c r="B34" s="4" t="s">
        <v>21</v>
      </c>
      <c r="C34" s="4" t="s">
        <v>27</v>
      </c>
      <c r="D34" s="4" t="s">
        <v>30</v>
      </c>
      <c r="E34" s="4">
        <v>7</v>
      </c>
      <c r="F34" s="4">
        <v>385</v>
      </c>
      <c r="G34" s="4">
        <f t="shared" si="0"/>
        <v>539</v>
      </c>
      <c r="H34" s="7">
        <f>Tableau1[[#This Row],[PV]]*Tableau1[[#This Row],[Qté]]</f>
        <v>3773</v>
      </c>
      <c r="I34" s="7">
        <f>Tableau1[[#This Row],[Qté]]*(Tableau1[[#This Row],[PV]]-Tableau1[[#This Row],[PA]])</f>
        <v>1078</v>
      </c>
    </row>
    <row r="35" spans="1:9" x14ac:dyDescent="0.25">
      <c r="A35" s="3">
        <v>44320</v>
      </c>
      <c r="B35" s="4" t="s">
        <v>9</v>
      </c>
      <c r="C35" s="4" t="s">
        <v>31</v>
      </c>
      <c r="D35" s="4" t="s">
        <v>26</v>
      </c>
      <c r="E35" s="4">
        <v>6</v>
      </c>
      <c r="F35" s="4">
        <v>278</v>
      </c>
      <c r="G35" s="4">
        <f t="shared" si="0"/>
        <v>389</v>
      </c>
      <c r="H35" s="7">
        <f>Tableau1[[#This Row],[PV]]*Tableau1[[#This Row],[Qté]]</f>
        <v>2334</v>
      </c>
      <c r="I35" s="7">
        <f>Tableau1[[#This Row],[Qté]]*(Tableau1[[#This Row],[PV]]-Tableau1[[#This Row],[PA]])</f>
        <v>666</v>
      </c>
    </row>
    <row r="36" spans="1:9" x14ac:dyDescent="0.25">
      <c r="A36" s="3">
        <v>44327</v>
      </c>
      <c r="B36" s="4" t="s">
        <v>22</v>
      </c>
      <c r="C36" s="4" t="s">
        <v>27</v>
      </c>
      <c r="D36" s="4" t="s">
        <v>26</v>
      </c>
      <c r="E36" s="4">
        <v>9</v>
      </c>
      <c r="F36" s="4">
        <v>105</v>
      </c>
      <c r="G36" s="4">
        <f t="shared" si="0"/>
        <v>147</v>
      </c>
      <c r="H36" s="7">
        <f>Tableau1[[#This Row],[PV]]*Tableau1[[#This Row],[Qté]]</f>
        <v>1323</v>
      </c>
      <c r="I36" s="7">
        <f>Tableau1[[#This Row],[Qté]]*(Tableau1[[#This Row],[PV]]-Tableau1[[#This Row],[PA]])</f>
        <v>378</v>
      </c>
    </row>
    <row r="37" spans="1:9" x14ac:dyDescent="0.25">
      <c r="A37" s="3">
        <v>44327</v>
      </c>
      <c r="B37" s="4" t="s">
        <v>10</v>
      </c>
      <c r="C37" s="4" t="s">
        <v>27</v>
      </c>
      <c r="D37" s="4" t="s">
        <v>37</v>
      </c>
      <c r="E37" s="4">
        <v>5</v>
      </c>
      <c r="F37" s="4">
        <v>255</v>
      </c>
      <c r="G37" s="4">
        <f t="shared" si="0"/>
        <v>357</v>
      </c>
      <c r="H37" s="7">
        <f>Tableau1[[#This Row],[PV]]*Tableau1[[#This Row],[Qté]]</f>
        <v>1785</v>
      </c>
      <c r="I37" s="7">
        <f>Tableau1[[#This Row],[Qté]]*(Tableau1[[#This Row],[PV]]-Tableau1[[#This Row],[PA]])</f>
        <v>510</v>
      </c>
    </row>
    <row r="38" spans="1:9" x14ac:dyDescent="0.25">
      <c r="A38" s="3">
        <v>44334</v>
      </c>
      <c r="B38" s="4" t="s">
        <v>23</v>
      </c>
      <c r="C38" s="4" t="s">
        <v>27</v>
      </c>
      <c r="D38" s="4" t="s">
        <v>37</v>
      </c>
      <c r="E38" s="4">
        <v>14</v>
      </c>
      <c r="F38" s="4">
        <v>382</v>
      </c>
      <c r="G38" s="4">
        <f t="shared" si="0"/>
        <v>534</v>
      </c>
      <c r="H38" s="7">
        <f>Tableau1[[#This Row],[PV]]*Tableau1[[#This Row],[Qté]]</f>
        <v>7476</v>
      </c>
      <c r="I38" s="7">
        <f>Tableau1[[#This Row],[Qté]]*(Tableau1[[#This Row],[PV]]-Tableau1[[#This Row],[PA]])</f>
        <v>2128</v>
      </c>
    </row>
    <row r="39" spans="1:9" x14ac:dyDescent="0.25">
      <c r="A39" s="3">
        <v>44334</v>
      </c>
      <c r="B39" s="4" t="s">
        <v>11</v>
      </c>
      <c r="C39" s="4" t="s">
        <v>29</v>
      </c>
      <c r="D39" s="4" t="s">
        <v>30</v>
      </c>
      <c r="E39" s="4">
        <v>23</v>
      </c>
      <c r="F39" s="4">
        <v>472</v>
      </c>
      <c r="G39" s="4">
        <f t="shared" si="0"/>
        <v>660</v>
      </c>
      <c r="H39" s="7">
        <f>Tableau1[[#This Row],[PV]]*Tableau1[[#This Row],[Qté]]</f>
        <v>15180</v>
      </c>
      <c r="I39" s="7">
        <f>Tableau1[[#This Row],[Qté]]*(Tableau1[[#This Row],[PV]]-Tableau1[[#This Row],[PA]])</f>
        <v>4324</v>
      </c>
    </row>
    <row r="40" spans="1:9" x14ac:dyDescent="0.25">
      <c r="A40" s="3">
        <v>44341</v>
      </c>
      <c r="B40" s="4" t="s">
        <v>24</v>
      </c>
      <c r="C40" s="4" t="s">
        <v>31</v>
      </c>
      <c r="D40" s="4" t="s">
        <v>28</v>
      </c>
      <c r="E40" s="4">
        <v>8</v>
      </c>
      <c r="F40" s="4">
        <v>300</v>
      </c>
      <c r="G40" s="4">
        <f t="shared" si="0"/>
        <v>420</v>
      </c>
      <c r="H40" s="7">
        <f>Tableau1[[#This Row],[PV]]*Tableau1[[#This Row],[Qté]]</f>
        <v>3360</v>
      </c>
      <c r="I40" s="7">
        <f>Tableau1[[#This Row],[Qté]]*(Tableau1[[#This Row],[PV]]-Tableau1[[#This Row],[PA]])</f>
        <v>960</v>
      </c>
    </row>
    <row r="41" spans="1:9" x14ac:dyDescent="0.25">
      <c r="A41" s="3">
        <v>44341</v>
      </c>
      <c r="B41" s="4" t="s">
        <v>12</v>
      </c>
      <c r="C41" s="4" t="s">
        <v>25</v>
      </c>
      <c r="D41" s="4" t="s">
        <v>30</v>
      </c>
      <c r="E41" s="4">
        <v>24</v>
      </c>
      <c r="F41" s="4">
        <v>213</v>
      </c>
      <c r="G41" s="4">
        <f t="shared" si="0"/>
        <v>298</v>
      </c>
      <c r="H41" s="7">
        <f>Tableau1[[#This Row],[PV]]*Tableau1[[#This Row],[Qté]]</f>
        <v>7152</v>
      </c>
      <c r="I41" s="7">
        <f>Tableau1[[#This Row],[Qté]]*(Tableau1[[#This Row],[PV]]-Tableau1[[#This Row],[PA]])</f>
        <v>2040</v>
      </c>
    </row>
    <row r="42" spans="1:9" x14ac:dyDescent="0.25">
      <c r="A42" s="3">
        <v>44348</v>
      </c>
      <c r="B42" s="4" t="s">
        <v>5</v>
      </c>
      <c r="C42" s="4" t="s">
        <v>27</v>
      </c>
      <c r="D42" s="4" t="s">
        <v>30</v>
      </c>
      <c r="E42" s="4">
        <v>10</v>
      </c>
      <c r="F42" s="4">
        <v>360</v>
      </c>
      <c r="G42" s="4">
        <f t="shared" si="0"/>
        <v>504</v>
      </c>
      <c r="H42" s="7">
        <f>Tableau1[[#This Row],[PV]]*Tableau1[[#This Row],[Qté]]</f>
        <v>5040</v>
      </c>
      <c r="I42" s="7">
        <f>Tableau1[[#This Row],[Qté]]*(Tableau1[[#This Row],[PV]]-Tableau1[[#This Row],[PA]])</f>
        <v>1440</v>
      </c>
    </row>
    <row r="43" spans="1:9" x14ac:dyDescent="0.25">
      <c r="A43" s="3">
        <v>44348</v>
      </c>
      <c r="B43" s="4" t="s">
        <v>13</v>
      </c>
      <c r="C43" s="4" t="s">
        <v>25</v>
      </c>
      <c r="D43" s="4" t="s">
        <v>26</v>
      </c>
      <c r="E43" s="4">
        <v>21</v>
      </c>
      <c r="F43" s="4">
        <v>478</v>
      </c>
      <c r="G43" s="4">
        <f t="shared" si="0"/>
        <v>669</v>
      </c>
      <c r="H43" s="7">
        <f>Tableau1[[#This Row],[PV]]*Tableau1[[#This Row],[Qté]]</f>
        <v>14049</v>
      </c>
      <c r="I43" s="7">
        <f>Tableau1[[#This Row],[Qté]]*(Tableau1[[#This Row],[PV]]-Tableau1[[#This Row],[PA]])</f>
        <v>4011</v>
      </c>
    </row>
    <row r="44" spans="1:9" x14ac:dyDescent="0.25">
      <c r="A44" s="3">
        <v>44355</v>
      </c>
      <c r="B44" s="4" t="s">
        <v>6</v>
      </c>
      <c r="C44" s="4" t="s">
        <v>29</v>
      </c>
      <c r="D44" s="4" t="s">
        <v>32</v>
      </c>
      <c r="E44" s="4">
        <v>13</v>
      </c>
      <c r="F44" s="4">
        <v>228</v>
      </c>
      <c r="G44" s="4">
        <f t="shared" si="0"/>
        <v>319</v>
      </c>
      <c r="H44" s="7">
        <f>Tableau1[[#This Row],[PV]]*Tableau1[[#This Row],[Qté]]</f>
        <v>4147</v>
      </c>
      <c r="I44" s="7">
        <f>Tableau1[[#This Row],[Qté]]*(Tableau1[[#This Row],[PV]]-Tableau1[[#This Row],[PA]])</f>
        <v>1183</v>
      </c>
    </row>
    <row r="45" spans="1:9" x14ac:dyDescent="0.25">
      <c r="A45" s="3">
        <v>44355</v>
      </c>
      <c r="B45" s="4" t="s">
        <v>14</v>
      </c>
      <c r="C45" s="4" t="s">
        <v>25</v>
      </c>
      <c r="D45" s="4" t="s">
        <v>30</v>
      </c>
      <c r="E45" s="4">
        <v>20</v>
      </c>
      <c r="F45" s="4">
        <v>362</v>
      </c>
      <c r="G45" s="4">
        <f t="shared" si="0"/>
        <v>506</v>
      </c>
      <c r="H45" s="7">
        <f>Tableau1[[#This Row],[PV]]*Tableau1[[#This Row],[Qté]]</f>
        <v>10120</v>
      </c>
      <c r="I45" s="7">
        <f>Tableau1[[#This Row],[Qté]]*(Tableau1[[#This Row],[PV]]-Tableau1[[#This Row],[PA]])</f>
        <v>2880</v>
      </c>
    </row>
    <row r="46" spans="1:9" x14ac:dyDescent="0.25">
      <c r="A46" s="3">
        <v>44362</v>
      </c>
      <c r="B46" s="4" t="s">
        <v>7</v>
      </c>
      <c r="C46" s="4" t="s">
        <v>31</v>
      </c>
      <c r="D46" s="4" t="s">
        <v>32</v>
      </c>
      <c r="E46" s="4">
        <v>5</v>
      </c>
      <c r="F46" s="4">
        <v>474</v>
      </c>
      <c r="G46" s="4">
        <f t="shared" si="0"/>
        <v>663</v>
      </c>
      <c r="H46" s="7">
        <f>Tableau1[[#This Row],[PV]]*Tableau1[[#This Row],[Qté]]</f>
        <v>3315</v>
      </c>
      <c r="I46" s="7">
        <f>Tableau1[[#This Row],[Qté]]*(Tableau1[[#This Row],[PV]]-Tableau1[[#This Row],[PA]])</f>
        <v>945</v>
      </c>
    </row>
    <row r="47" spans="1:9" x14ac:dyDescent="0.25">
      <c r="A47" s="3">
        <v>44362</v>
      </c>
      <c r="B47" s="4" t="s">
        <v>15</v>
      </c>
      <c r="C47" s="4" t="s">
        <v>29</v>
      </c>
      <c r="D47" s="4" t="s">
        <v>37</v>
      </c>
      <c r="E47" s="4">
        <v>22</v>
      </c>
      <c r="F47" s="4">
        <v>434</v>
      </c>
      <c r="G47" s="4">
        <f t="shared" si="0"/>
        <v>607</v>
      </c>
      <c r="H47" s="7">
        <f>Tableau1[[#This Row],[PV]]*Tableau1[[#This Row],[Qté]]</f>
        <v>13354</v>
      </c>
      <c r="I47" s="7">
        <f>Tableau1[[#This Row],[Qté]]*(Tableau1[[#This Row],[PV]]-Tableau1[[#This Row],[PA]])</f>
        <v>3806</v>
      </c>
    </row>
    <row r="48" spans="1:9" x14ac:dyDescent="0.25">
      <c r="A48" s="3">
        <v>44369</v>
      </c>
      <c r="B48" s="4" t="s">
        <v>8</v>
      </c>
      <c r="C48" s="4" t="s">
        <v>27</v>
      </c>
      <c r="D48" s="4" t="s">
        <v>30</v>
      </c>
      <c r="E48" s="4">
        <v>12</v>
      </c>
      <c r="F48" s="4">
        <v>206</v>
      </c>
      <c r="G48" s="4">
        <f t="shared" si="0"/>
        <v>288</v>
      </c>
      <c r="H48" s="7">
        <f>Tableau1[[#This Row],[PV]]*Tableau1[[#This Row],[Qté]]</f>
        <v>3456</v>
      </c>
      <c r="I48" s="7">
        <f>Tableau1[[#This Row],[Qté]]*(Tableau1[[#This Row],[PV]]-Tableau1[[#This Row],[PA]])</f>
        <v>984</v>
      </c>
    </row>
    <row r="49" spans="1:9" x14ac:dyDescent="0.25">
      <c r="A49" s="3">
        <v>44369</v>
      </c>
      <c r="B49" s="4" t="s">
        <v>16</v>
      </c>
      <c r="C49" s="4" t="s">
        <v>29</v>
      </c>
      <c r="D49" s="4" t="s">
        <v>26</v>
      </c>
      <c r="E49" s="4">
        <v>14</v>
      </c>
      <c r="F49" s="4">
        <v>407</v>
      </c>
      <c r="G49" s="4">
        <f t="shared" si="0"/>
        <v>569</v>
      </c>
      <c r="H49" s="7">
        <f>Tableau1[[#This Row],[PV]]*Tableau1[[#This Row],[Qté]]</f>
        <v>7966</v>
      </c>
      <c r="I49" s="7">
        <f>Tableau1[[#This Row],[Qté]]*(Tableau1[[#This Row],[PV]]-Tableau1[[#This Row],[PA]])</f>
        <v>2268</v>
      </c>
    </row>
    <row r="50" spans="1:9" x14ac:dyDescent="0.25">
      <c r="A50" s="3">
        <v>44376</v>
      </c>
      <c r="B50" s="4" t="s">
        <v>9</v>
      </c>
      <c r="C50" s="4" t="s">
        <v>27</v>
      </c>
      <c r="D50" s="4" t="s">
        <v>30</v>
      </c>
      <c r="E50" s="4">
        <v>11</v>
      </c>
      <c r="F50" s="4">
        <v>278</v>
      </c>
      <c r="G50" s="4">
        <f t="shared" si="0"/>
        <v>389</v>
      </c>
      <c r="H50" s="7">
        <v>1021</v>
      </c>
      <c r="I50" s="7">
        <f>Tableau1[[#This Row],[Qté]]*(Tableau1[[#This Row],[PV]]-Tableau1[[#This Row],[PA]])</f>
        <v>1221</v>
      </c>
    </row>
    <row r="51" spans="1:9" x14ac:dyDescent="0.25">
      <c r="A51" s="3">
        <v>44376</v>
      </c>
      <c r="B51" s="4" t="s">
        <v>17</v>
      </c>
      <c r="C51" s="4" t="s">
        <v>31</v>
      </c>
      <c r="D51" s="4" t="s">
        <v>28</v>
      </c>
      <c r="E51" s="4">
        <v>5</v>
      </c>
      <c r="F51" s="4">
        <v>265</v>
      </c>
      <c r="G51" s="4">
        <f t="shared" si="0"/>
        <v>371</v>
      </c>
      <c r="H51" s="7">
        <f>Tableau1[[#This Row],[PV]]*Tableau1[[#This Row],[Qté]]</f>
        <v>1855</v>
      </c>
      <c r="I51" s="7">
        <f>Tableau1[[#This Row],[Qté]]*(Tableau1[[#This Row],[PV]]-Tableau1[[#This Row],[PA]])</f>
        <v>530</v>
      </c>
    </row>
    <row r="52" spans="1:9" x14ac:dyDescent="0.25">
      <c r="A52" s="3">
        <v>44383</v>
      </c>
      <c r="B52" s="4" t="s">
        <v>10</v>
      </c>
      <c r="C52" s="4" t="s">
        <v>27</v>
      </c>
      <c r="D52" s="4" t="s">
        <v>32</v>
      </c>
      <c r="E52" s="4">
        <v>5</v>
      </c>
      <c r="F52" s="4">
        <v>255</v>
      </c>
      <c r="G52" s="4">
        <f t="shared" si="0"/>
        <v>357</v>
      </c>
      <c r="H52" s="7">
        <f>Tableau1[[#This Row],[PV]]*Tableau1[[#This Row],[Qté]]</f>
        <v>1785</v>
      </c>
      <c r="I52" s="7">
        <f>Tableau1[[#This Row],[Qté]]*(Tableau1[[#This Row],[PV]]-Tableau1[[#This Row],[PA]])</f>
        <v>510</v>
      </c>
    </row>
    <row r="53" spans="1:9" x14ac:dyDescent="0.25">
      <c r="A53" s="3">
        <v>44383</v>
      </c>
      <c r="B53" s="4" t="s">
        <v>18</v>
      </c>
      <c r="C53" s="4" t="s">
        <v>31</v>
      </c>
      <c r="D53" s="4" t="s">
        <v>28</v>
      </c>
      <c r="E53" s="4">
        <v>2</v>
      </c>
      <c r="F53" s="4">
        <v>427</v>
      </c>
      <c r="G53" s="4">
        <f t="shared" si="0"/>
        <v>597</v>
      </c>
      <c r="H53" s="7">
        <f>Tableau1[[#This Row],[PV]]*Tableau1[[#This Row],[Qté]]</f>
        <v>1194</v>
      </c>
      <c r="I53" s="7">
        <f>Tableau1[[#This Row],[Qté]]*(Tableau1[[#This Row],[PV]]-Tableau1[[#This Row],[PA]])</f>
        <v>340</v>
      </c>
    </row>
    <row r="54" spans="1:9" x14ac:dyDescent="0.25">
      <c r="A54" s="3">
        <v>44390</v>
      </c>
      <c r="B54" s="4" t="s">
        <v>11</v>
      </c>
      <c r="C54" s="4" t="s">
        <v>25</v>
      </c>
      <c r="D54" s="4" t="s">
        <v>28</v>
      </c>
      <c r="E54" s="4">
        <v>3</v>
      </c>
      <c r="F54" s="4">
        <v>472</v>
      </c>
      <c r="G54" s="4">
        <f t="shared" si="0"/>
        <v>660</v>
      </c>
      <c r="H54" s="7">
        <f>Tableau1[[#This Row],[PV]]*Tableau1[[#This Row],[Qté]]</f>
        <v>1980</v>
      </c>
      <c r="I54" s="7">
        <f>Tableau1[[#This Row],[Qté]]*(Tableau1[[#This Row],[PV]]-Tableau1[[#This Row],[PA]])</f>
        <v>564</v>
      </c>
    </row>
    <row r="55" spans="1:9" x14ac:dyDescent="0.25">
      <c r="A55" s="3">
        <v>44390</v>
      </c>
      <c r="B55" s="4" t="s">
        <v>19</v>
      </c>
      <c r="C55" s="4" t="s">
        <v>25</v>
      </c>
      <c r="D55" s="4" t="s">
        <v>28</v>
      </c>
      <c r="E55" s="4">
        <v>5</v>
      </c>
      <c r="F55" s="4">
        <v>224</v>
      </c>
      <c r="G55" s="4">
        <f t="shared" si="0"/>
        <v>313</v>
      </c>
      <c r="H55" s="7">
        <f>Tableau1[[#This Row],[PV]]*Tableau1[[#This Row],[Qté]]</f>
        <v>1565</v>
      </c>
      <c r="I55" s="7">
        <f>Tableau1[[#This Row],[Qté]]*(Tableau1[[#This Row],[PV]]-Tableau1[[#This Row],[PA]])</f>
        <v>445</v>
      </c>
    </row>
    <row r="56" spans="1:9" x14ac:dyDescent="0.25">
      <c r="A56" s="3">
        <v>44397</v>
      </c>
      <c r="B56" s="4" t="s">
        <v>12</v>
      </c>
      <c r="C56" s="4" t="s">
        <v>31</v>
      </c>
      <c r="D56" s="4" t="s">
        <v>32</v>
      </c>
      <c r="E56" s="4">
        <v>9</v>
      </c>
      <c r="F56" s="4">
        <v>213</v>
      </c>
      <c r="G56" s="4">
        <f t="shared" si="0"/>
        <v>298</v>
      </c>
      <c r="H56" s="7">
        <f>Tableau1[[#This Row],[PV]]*Tableau1[[#This Row],[Qté]]</f>
        <v>2682</v>
      </c>
      <c r="I56" s="7">
        <f>Tableau1[[#This Row],[Qté]]*(Tableau1[[#This Row],[PV]]-Tableau1[[#This Row],[PA]])</f>
        <v>765</v>
      </c>
    </row>
    <row r="57" spans="1:9" x14ac:dyDescent="0.25">
      <c r="A57" s="3">
        <v>44397</v>
      </c>
      <c r="B57" s="4" t="s">
        <v>20</v>
      </c>
      <c r="C57" s="4" t="s">
        <v>29</v>
      </c>
      <c r="D57" s="4" t="s">
        <v>32</v>
      </c>
      <c r="E57" s="4">
        <v>1</v>
      </c>
      <c r="F57" s="4">
        <v>270</v>
      </c>
      <c r="G57" s="4">
        <f t="shared" si="0"/>
        <v>378</v>
      </c>
      <c r="H57" s="7">
        <f>Tableau1[[#This Row],[PV]]*Tableau1[[#This Row],[Qté]]</f>
        <v>378</v>
      </c>
      <c r="I57" s="7">
        <f>Tableau1[[#This Row],[Qté]]*(Tableau1[[#This Row],[PV]]-Tableau1[[#This Row],[PA]])</f>
        <v>108</v>
      </c>
    </row>
    <row r="58" spans="1:9" x14ac:dyDescent="0.25">
      <c r="A58" s="3">
        <v>44404</v>
      </c>
      <c r="B58" s="4" t="s">
        <v>13</v>
      </c>
      <c r="C58" s="4" t="s">
        <v>31</v>
      </c>
      <c r="D58" s="4" t="s">
        <v>30</v>
      </c>
      <c r="E58" s="4">
        <v>3</v>
      </c>
      <c r="F58" s="4">
        <v>478</v>
      </c>
      <c r="G58" s="4">
        <f t="shared" si="0"/>
        <v>669</v>
      </c>
      <c r="H58" s="7">
        <f>Tableau1[[#This Row],[PV]]*Tableau1[[#This Row],[Qté]]</f>
        <v>2007</v>
      </c>
      <c r="I58" s="7">
        <f>Tableau1[[#This Row],[Qté]]*(Tableau1[[#This Row],[PV]]-Tableau1[[#This Row],[PA]])</f>
        <v>573</v>
      </c>
    </row>
    <row r="59" spans="1:9" x14ac:dyDescent="0.25">
      <c r="A59" s="3">
        <v>44404</v>
      </c>
      <c r="B59" s="4" t="s">
        <v>21</v>
      </c>
      <c r="C59" s="4" t="s">
        <v>31</v>
      </c>
      <c r="D59" s="4" t="s">
        <v>30</v>
      </c>
      <c r="E59" s="4">
        <v>9</v>
      </c>
      <c r="F59" s="4">
        <v>385</v>
      </c>
      <c r="G59" s="4">
        <f t="shared" si="0"/>
        <v>539</v>
      </c>
      <c r="H59" s="7">
        <f>Tableau1[[#This Row],[PV]]*Tableau1[[#This Row],[Qté]]</f>
        <v>4851</v>
      </c>
      <c r="I59" s="7">
        <f>Tableau1[[#This Row],[Qté]]*(Tableau1[[#This Row],[PV]]-Tableau1[[#This Row],[PA]])</f>
        <v>1386</v>
      </c>
    </row>
    <row r="60" spans="1:9" x14ac:dyDescent="0.25">
      <c r="A60" s="3">
        <v>44411</v>
      </c>
      <c r="B60" s="4" t="s">
        <v>14</v>
      </c>
      <c r="C60" s="4" t="s">
        <v>27</v>
      </c>
      <c r="D60" s="4" t="s">
        <v>28</v>
      </c>
      <c r="E60" s="4">
        <v>3</v>
      </c>
      <c r="F60" s="4">
        <v>362</v>
      </c>
      <c r="G60" s="4">
        <f t="shared" si="0"/>
        <v>506</v>
      </c>
      <c r="H60" s="7">
        <f>Tableau1[[#This Row],[PV]]*Tableau1[[#This Row],[Qté]]</f>
        <v>1518</v>
      </c>
      <c r="I60" s="7">
        <f>Tableau1[[#This Row],[Qté]]*(Tableau1[[#This Row],[PV]]-Tableau1[[#This Row],[PA]])</f>
        <v>432</v>
      </c>
    </row>
    <row r="61" spans="1:9" x14ac:dyDescent="0.25">
      <c r="A61" s="3">
        <v>44411</v>
      </c>
      <c r="B61" s="4" t="s">
        <v>22</v>
      </c>
      <c r="C61" s="4" t="s">
        <v>25</v>
      </c>
      <c r="D61" s="4" t="s">
        <v>28</v>
      </c>
      <c r="E61" s="4">
        <v>4</v>
      </c>
      <c r="F61" s="4">
        <v>105</v>
      </c>
      <c r="G61" s="4">
        <f t="shared" si="0"/>
        <v>147</v>
      </c>
      <c r="H61" s="7">
        <f>Tableau1[[#This Row],[PV]]*Tableau1[[#This Row],[Qté]]</f>
        <v>588</v>
      </c>
      <c r="I61" s="7">
        <f>Tableau1[[#This Row],[Qté]]*(Tableau1[[#This Row],[PV]]-Tableau1[[#This Row],[PA]])</f>
        <v>168</v>
      </c>
    </row>
    <row r="62" spans="1:9" x14ac:dyDescent="0.25">
      <c r="A62" s="3">
        <v>44418</v>
      </c>
      <c r="B62" s="4" t="s">
        <v>15</v>
      </c>
      <c r="C62" s="4" t="s">
        <v>27</v>
      </c>
      <c r="D62" s="4" t="s">
        <v>26</v>
      </c>
      <c r="E62" s="4">
        <v>7</v>
      </c>
      <c r="F62" s="4">
        <v>434</v>
      </c>
      <c r="G62" s="4">
        <f t="shared" si="0"/>
        <v>607</v>
      </c>
      <c r="H62" s="7">
        <f>Tableau1[[#This Row],[PV]]*Tableau1[[#This Row],[Qté]]</f>
        <v>4249</v>
      </c>
      <c r="I62" s="7">
        <f>Tableau1[[#This Row],[Qté]]*(Tableau1[[#This Row],[PV]]-Tableau1[[#This Row],[PA]])</f>
        <v>1211</v>
      </c>
    </row>
    <row r="63" spans="1:9" x14ac:dyDescent="0.25">
      <c r="A63" s="3">
        <v>44418</v>
      </c>
      <c r="B63" s="4" t="s">
        <v>23</v>
      </c>
      <c r="C63" s="4" t="s">
        <v>25</v>
      </c>
      <c r="D63" s="4" t="s">
        <v>37</v>
      </c>
      <c r="E63" s="4">
        <v>8</v>
      </c>
      <c r="F63" s="4">
        <v>382</v>
      </c>
      <c r="G63" s="4">
        <f t="shared" si="0"/>
        <v>534</v>
      </c>
      <c r="H63" s="7">
        <f>Tableau1[[#This Row],[PV]]*Tableau1[[#This Row],[Qté]]</f>
        <v>4272</v>
      </c>
      <c r="I63" s="7">
        <f>Tableau1[[#This Row],[Qté]]*(Tableau1[[#This Row],[PV]]-Tableau1[[#This Row],[PA]])</f>
        <v>1216</v>
      </c>
    </row>
    <row r="64" spans="1:9" x14ac:dyDescent="0.25">
      <c r="A64" s="3">
        <v>44425</v>
      </c>
      <c r="B64" s="4" t="s">
        <v>24</v>
      </c>
      <c r="C64" s="4" t="s">
        <v>25</v>
      </c>
      <c r="D64" s="4" t="s">
        <v>32</v>
      </c>
      <c r="E64" s="4">
        <v>1</v>
      </c>
      <c r="F64" s="4">
        <v>300</v>
      </c>
      <c r="G64" s="4">
        <f t="shared" si="0"/>
        <v>420</v>
      </c>
      <c r="H64" s="7">
        <f>Tableau1[[#This Row],[PV]]*Tableau1[[#This Row],[Qté]]</f>
        <v>420</v>
      </c>
      <c r="I64" s="7">
        <f>Tableau1[[#This Row],[Qté]]*(Tableau1[[#This Row],[PV]]-Tableau1[[#This Row],[PA]])</f>
        <v>120</v>
      </c>
    </row>
    <row r="65" spans="1:9" x14ac:dyDescent="0.25">
      <c r="A65" s="3">
        <v>44432</v>
      </c>
      <c r="B65" s="4" t="s">
        <v>17</v>
      </c>
      <c r="C65" s="4" t="s">
        <v>25</v>
      </c>
      <c r="D65" s="4" t="s">
        <v>37</v>
      </c>
      <c r="E65" s="4">
        <v>6</v>
      </c>
      <c r="F65" s="4">
        <v>265</v>
      </c>
      <c r="G65" s="4">
        <f t="shared" si="0"/>
        <v>371</v>
      </c>
      <c r="H65" s="7">
        <f>Tableau1[[#This Row],[PV]]*Tableau1[[#This Row],[Qté]]</f>
        <v>2226</v>
      </c>
      <c r="I65" s="7">
        <f>Tableau1[[#This Row],[Qté]]*(Tableau1[[#This Row],[PV]]-Tableau1[[#This Row],[PA]])</f>
        <v>636</v>
      </c>
    </row>
    <row r="66" spans="1:9" x14ac:dyDescent="0.25">
      <c r="A66" s="3">
        <v>44432</v>
      </c>
      <c r="B66" s="4" t="s">
        <v>14</v>
      </c>
      <c r="C66" s="4" t="s">
        <v>29</v>
      </c>
      <c r="D66" s="4" t="s">
        <v>30</v>
      </c>
      <c r="E66" s="4">
        <v>2</v>
      </c>
      <c r="F66" s="4">
        <v>362</v>
      </c>
      <c r="G66" s="4">
        <f t="shared" ref="G66:G129" si="1">INT(F66*1.4)</f>
        <v>506</v>
      </c>
      <c r="H66" s="7">
        <f>Tableau1[[#This Row],[PV]]*Tableau1[[#This Row],[Qté]]</f>
        <v>1012</v>
      </c>
      <c r="I66" s="7">
        <f>Tableau1[[#This Row],[Qté]]*(Tableau1[[#This Row],[PV]]-Tableau1[[#This Row],[PA]])</f>
        <v>288</v>
      </c>
    </row>
    <row r="67" spans="1:9" x14ac:dyDescent="0.25">
      <c r="A67" s="3">
        <v>44439</v>
      </c>
      <c r="B67" s="4" t="s">
        <v>18</v>
      </c>
      <c r="C67" s="4" t="s">
        <v>27</v>
      </c>
      <c r="D67" s="4" t="s">
        <v>32</v>
      </c>
      <c r="E67" s="4">
        <v>3</v>
      </c>
      <c r="F67" s="4">
        <v>427</v>
      </c>
      <c r="G67" s="4">
        <f t="shared" si="1"/>
        <v>597</v>
      </c>
      <c r="H67" s="7">
        <f>Tableau1[[#This Row],[PV]]*Tableau1[[#This Row],[Qté]]</f>
        <v>1791</v>
      </c>
      <c r="I67" s="7">
        <f>Tableau1[[#This Row],[Qté]]*(Tableau1[[#This Row],[PV]]-Tableau1[[#This Row],[PA]])</f>
        <v>510</v>
      </c>
    </row>
    <row r="68" spans="1:9" x14ac:dyDescent="0.25">
      <c r="A68" s="3">
        <v>44439</v>
      </c>
      <c r="B68" s="4" t="s">
        <v>15</v>
      </c>
      <c r="C68" s="4" t="s">
        <v>27</v>
      </c>
      <c r="D68" s="4" t="s">
        <v>37</v>
      </c>
      <c r="E68" s="4">
        <v>5</v>
      </c>
      <c r="F68" s="4">
        <v>434</v>
      </c>
      <c r="G68" s="4">
        <f t="shared" si="1"/>
        <v>607</v>
      </c>
      <c r="H68" s="7">
        <f>Tableau1[[#This Row],[PV]]*Tableau1[[#This Row],[Qté]]</f>
        <v>3035</v>
      </c>
      <c r="I68" s="7">
        <f>Tableau1[[#This Row],[Qté]]*(Tableau1[[#This Row],[PV]]-Tableau1[[#This Row],[PA]])</f>
        <v>865</v>
      </c>
    </row>
    <row r="69" spans="1:9" x14ac:dyDescent="0.25">
      <c r="A69" s="3">
        <v>44446</v>
      </c>
      <c r="B69" s="4" t="s">
        <v>19</v>
      </c>
      <c r="C69" s="4" t="s">
        <v>31</v>
      </c>
      <c r="D69" s="4" t="s">
        <v>32</v>
      </c>
      <c r="E69" s="4">
        <v>3</v>
      </c>
      <c r="F69" s="4">
        <v>224</v>
      </c>
      <c r="G69" s="4">
        <f t="shared" si="1"/>
        <v>313</v>
      </c>
      <c r="H69" s="7">
        <f>Tableau1[[#This Row],[PV]]*Tableau1[[#This Row],[Qté]]</f>
        <v>939</v>
      </c>
      <c r="I69" s="7">
        <f>Tableau1[[#This Row],[Qté]]*(Tableau1[[#This Row],[PV]]-Tableau1[[#This Row],[PA]])</f>
        <v>267</v>
      </c>
    </row>
    <row r="70" spans="1:9" x14ac:dyDescent="0.25">
      <c r="A70" s="3">
        <v>44453</v>
      </c>
      <c r="B70" s="4" t="s">
        <v>20</v>
      </c>
      <c r="C70" s="4" t="s">
        <v>31</v>
      </c>
      <c r="D70" s="4" t="s">
        <v>37</v>
      </c>
      <c r="E70" s="4">
        <v>6</v>
      </c>
      <c r="F70" s="4">
        <v>270</v>
      </c>
      <c r="G70" s="4">
        <f t="shared" si="1"/>
        <v>378</v>
      </c>
      <c r="H70" s="7">
        <f>Tableau1[[#This Row],[PV]]*Tableau1[[#This Row],[Qté]]</f>
        <v>2268</v>
      </c>
      <c r="I70" s="7">
        <f>Tableau1[[#This Row],[Qté]]*(Tableau1[[#This Row],[PV]]-Tableau1[[#This Row],[PA]])</f>
        <v>648</v>
      </c>
    </row>
    <row r="71" spans="1:9" x14ac:dyDescent="0.25">
      <c r="A71" s="3">
        <v>44460</v>
      </c>
      <c r="B71" s="4" t="s">
        <v>21</v>
      </c>
      <c r="C71" s="4" t="s">
        <v>25</v>
      </c>
      <c r="D71" s="4" t="s">
        <v>28</v>
      </c>
      <c r="E71" s="4">
        <v>11</v>
      </c>
      <c r="F71" s="4">
        <v>385</v>
      </c>
      <c r="G71" s="4">
        <f t="shared" si="1"/>
        <v>539</v>
      </c>
      <c r="H71" s="7">
        <f>Tableau1[[#This Row],[PV]]*Tableau1[[#This Row],[Qté]]</f>
        <v>5929</v>
      </c>
      <c r="I71" s="7">
        <f>Tableau1[[#This Row],[Qté]]*(Tableau1[[#This Row],[PV]]-Tableau1[[#This Row],[PA]])</f>
        <v>1694</v>
      </c>
    </row>
    <row r="72" spans="1:9" x14ac:dyDescent="0.25">
      <c r="A72" s="3">
        <v>44467</v>
      </c>
      <c r="B72" s="4" t="s">
        <v>22</v>
      </c>
      <c r="C72" s="4" t="s">
        <v>25</v>
      </c>
      <c r="D72" s="4" t="s">
        <v>37</v>
      </c>
      <c r="E72" s="4">
        <v>24</v>
      </c>
      <c r="F72" s="4">
        <v>105</v>
      </c>
      <c r="G72" s="4">
        <f t="shared" si="1"/>
        <v>147</v>
      </c>
      <c r="H72" s="7">
        <f>Tableau1[[#This Row],[PV]]*Tableau1[[#This Row],[Qté]]</f>
        <v>3528</v>
      </c>
      <c r="I72" s="7">
        <f>Tableau1[[#This Row],[Qté]]*(Tableau1[[#This Row],[PV]]-Tableau1[[#This Row],[PA]])</f>
        <v>1008</v>
      </c>
    </row>
    <row r="73" spans="1:9" x14ac:dyDescent="0.25">
      <c r="A73" s="3">
        <v>44474</v>
      </c>
      <c r="B73" s="4" t="s">
        <v>23</v>
      </c>
      <c r="C73" s="4" t="s">
        <v>31</v>
      </c>
      <c r="D73" s="4" t="s">
        <v>28</v>
      </c>
      <c r="E73" s="4">
        <v>7</v>
      </c>
      <c r="F73" s="4">
        <v>382</v>
      </c>
      <c r="G73" s="4">
        <f t="shared" si="1"/>
        <v>534</v>
      </c>
      <c r="H73" s="7">
        <f>Tableau1[[#This Row],[PV]]*Tableau1[[#This Row],[Qté]]</f>
        <v>3738</v>
      </c>
      <c r="I73" s="7">
        <f>Tableau1[[#This Row],[Qté]]*(Tableau1[[#This Row],[PV]]-Tableau1[[#This Row],[PA]])</f>
        <v>1064</v>
      </c>
    </row>
    <row r="74" spans="1:9" x14ac:dyDescent="0.25">
      <c r="A74" s="3">
        <v>44481</v>
      </c>
      <c r="B74" s="4" t="s">
        <v>24</v>
      </c>
      <c r="C74" s="4" t="s">
        <v>25</v>
      </c>
      <c r="D74" s="4" t="s">
        <v>37</v>
      </c>
      <c r="E74" s="4">
        <v>13</v>
      </c>
      <c r="F74" s="4">
        <v>300</v>
      </c>
      <c r="G74" s="4">
        <f t="shared" si="1"/>
        <v>420</v>
      </c>
      <c r="H74" s="7">
        <f>Tableau1[[#This Row],[PV]]*Tableau1[[#This Row],[Qté]]</f>
        <v>5460</v>
      </c>
      <c r="I74" s="7">
        <f>Tableau1[[#This Row],[Qté]]*(Tableau1[[#This Row],[PV]]-Tableau1[[#This Row],[PA]])</f>
        <v>1560</v>
      </c>
    </row>
    <row r="75" spans="1:9" x14ac:dyDescent="0.25">
      <c r="A75" s="3">
        <v>44507</v>
      </c>
      <c r="B75" s="4" t="s">
        <v>16</v>
      </c>
      <c r="C75" s="4" t="s">
        <v>29</v>
      </c>
      <c r="D75" s="4" t="s">
        <v>26</v>
      </c>
      <c r="E75" s="4">
        <v>24</v>
      </c>
      <c r="F75" s="4">
        <v>407</v>
      </c>
      <c r="G75" s="4">
        <f t="shared" si="1"/>
        <v>569</v>
      </c>
      <c r="H75" s="7">
        <f>Tableau1[[#This Row],[PV]]*Tableau1[[#This Row],[Qté]]</f>
        <v>13656</v>
      </c>
      <c r="I75" s="7">
        <f>Tableau1[[#This Row],[Qté]]*(Tableau1[[#This Row],[PV]]-Tableau1[[#This Row],[PA]])</f>
        <v>3888</v>
      </c>
    </row>
    <row r="76" spans="1:9" x14ac:dyDescent="0.25">
      <c r="A76" s="3">
        <v>44514</v>
      </c>
      <c r="B76" s="4" t="s">
        <v>17</v>
      </c>
      <c r="C76" s="4" t="s">
        <v>31</v>
      </c>
      <c r="D76" s="4" t="s">
        <v>30</v>
      </c>
      <c r="E76" s="4">
        <v>21</v>
      </c>
      <c r="F76" s="4">
        <v>265</v>
      </c>
      <c r="G76" s="4">
        <f t="shared" si="1"/>
        <v>371</v>
      </c>
      <c r="H76" s="7">
        <f>Tableau1[[#This Row],[PV]]*Tableau1[[#This Row],[Qté]]</f>
        <v>7791</v>
      </c>
      <c r="I76" s="7">
        <f>Tableau1[[#This Row],[Qté]]*(Tableau1[[#This Row],[PV]]-Tableau1[[#This Row],[PA]])</f>
        <v>2226</v>
      </c>
    </row>
    <row r="77" spans="1:9" x14ac:dyDescent="0.25">
      <c r="A77" s="3">
        <v>44521</v>
      </c>
      <c r="B77" s="4" t="s">
        <v>18</v>
      </c>
      <c r="C77" s="4" t="s">
        <v>31</v>
      </c>
      <c r="D77" s="4" t="s">
        <v>28</v>
      </c>
      <c r="E77" s="4">
        <v>20</v>
      </c>
      <c r="F77" s="4">
        <v>427</v>
      </c>
      <c r="G77" s="4">
        <f t="shared" si="1"/>
        <v>597</v>
      </c>
      <c r="H77" s="7">
        <f>Tableau1[[#This Row],[PV]]*Tableau1[[#This Row],[Qté]]</f>
        <v>11940</v>
      </c>
      <c r="I77" s="7">
        <f>Tableau1[[#This Row],[Qté]]*(Tableau1[[#This Row],[PV]]-Tableau1[[#This Row],[PA]])</f>
        <v>3400</v>
      </c>
    </row>
    <row r="78" spans="1:9" x14ac:dyDescent="0.25">
      <c r="A78" s="3">
        <v>44528</v>
      </c>
      <c r="B78" s="4" t="s">
        <v>19</v>
      </c>
      <c r="C78" s="4" t="s">
        <v>27</v>
      </c>
      <c r="D78" s="4" t="s">
        <v>26</v>
      </c>
      <c r="E78" s="4">
        <v>22</v>
      </c>
      <c r="F78" s="4">
        <v>224</v>
      </c>
      <c r="G78" s="4">
        <f t="shared" si="1"/>
        <v>313</v>
      </c>
      <c r="H78" s="7">
        <f>Tableau1[[#This Row],[PV]]*Tableau1[[#This Row],[Qté]]</f>
        <v>6886</v>
      </c>
      <c r="I78" s="7">
        <f>Tableau1[[#This Row],[Qté]]*(Tableau1[[#This Row],[PV]]-Tableau1[[#This Row],[PA]])</f>
        <v>1958</v>
      </c>
    </row>
    <row r="79" spans="1:9" x14ac:dyDescent="0.25">
      <c r="A79" s="3">
        <v>44535</v>
      </c>
      <c r="B79" s="4" t="s">
        <v>20</v>
      </c>
      <c r="C79" s="4" t="s">
        <v>31</v>
      </c>
      <c r="D79" s="4" t="s">
        <v>30</v>
      </c>
      <c r="E79" s="4">
        <v>14</v>
      </c>
      <c r="F79" s="4">
        <v>270</v>
      </c>
      <c r="G79" s="4">
        <f t="shared" si="1"/>
        <v>378</v>
      </c>
      <c r="H79" s="7">
        <f>Tableau1[[#This Row],[PV]]*Tableau1[[#This Row],[Qté]]</f>
        <v>5292</v>
      </c>
      <c r="I79" s="7">
        <f>Tableau1[[#This Row],[Qté]]*(Tableau1[[#This Row],[PV]]-Tableau1[[#This Row],[PA]])</f>
        <v>1512</v>
      </c>
    </row>
    <row r="80" spans="1:9" x14ac:dyDescent="0.25">
      <c r="A80" s="3">
        <v>44535</v>
      </c>
      <c r="B80" s="4" t="s">
        <v>21</v>
      </c>
      <c r="C80" s="4" t="s">
        <v>29</v>
      </c>
      <c r="D80" s="4" t="s">
        <v>32</v>
      </c>
      <c r="E80" s="4">
        <v>5</v>
      </c>
      <c r="F80" s="4">
        <v>385</v>
      </c>
      <c r="G80" s="4">
        <f t="shared" si="1"/>
        <v>539</v>
      </c>
      <c r="H80" s="7">
        <f>Tableau1[[#This Row],[PV]]*Tableau1[[#This Row],[Qté]]</f>
        <v>2695</v>
      </c>
      <c r="I80" s="7">
        <f>Tableau1[[#This Row],[Qté]]*(Tableau1[[#This Row],[PV]]-Tableau1[[#This Row],[PA]])</f>
        <v>770</v>
      </c>
    </row>
    <row r="81" spans="1:9" x14ac:dyDescent="0.25">
      <c r="A81" s="3">
        <v>44540</v>
      </c>
      <c r="B81" s="4" t="s">
        <v>22</v>
      </c>
      <c r="C81" s="4" t="s">
        <v>25</v>
      </c>
      <c r="D81" s="4" t="s">
        <v>30</v>
      </c>
      <c r="E81" s="4">
        <v>12</v>
      </c>
      <c r="F81" s="4">
        <v>105</v>
      </c>
      <c r="G81" s="4">
        <f t="shared" si="1"/>
        <v>147</v>
      </c>
      <c r="H81" s="7">
        <f>Tableau1[[#This Row],[PV]]*Tableau1[[#This Row],[Qté]]</f>
        <v>1764</v>
      </c>
      <c r="I81" s="7">
        <f>Tableau1[[#This Row],[Qté]]*(Tableau1[[#This Row],[PV]]-Tableau1[[#This Row],[PA]])</f>
        <v>504</v>
      </c>
    </row>
    <row r="82" spans="1:9" x14ac:dyDescent="0.25">
      <c r="A82" s="3">
        <v>44547</v>
      </c>
      <c r="B82" s="4" t="s">
        <v>16</v>
      </c>
      <c r="C82" s="4" t="s">
        <v>31</v>
      </c>
      <c r="D82" s="4" t="s">
        <v>37</v>
      </c>
      <c r="E82" s="4">
        <v>20</v>
      </c>
      <c r="F82" s="4">
        <v>407</v>
      </c>
      <c r="G82" s="4">
        <f t="shared" si="1"/>
        <v>569</v>
      </c>
      <c r="H82" s="7">
        <f>Tableau1[[#This Row],[PV]]*Tableau1[[#This Row],[Qté]]</f>
        <v>11380</v>
      </c>
      <c r="I82" s="7">
        <f>Tableau1[[#This Row],[Qté]]*(Tableau1[[#This Row],[PV]]-Tableau1[[#This Row],[PA]])</f>
        <v>3240</v>
      </c>
    </row>
    <row r="83" spans="1:9" x14ac:dyDescent="0.25">
      <c r="A83" s="3">
        <v>44572</v>
      </c>
      <c r="B83" s="4" t="s">
        <v>5</v>
      </c>
      <c r="C83" s="4" t="s">
        <v>29</v>
      </c>
      <c r="D83" s="4" t="s">
        <v>26</v>
      </c>
      <c r="E83" s="4">
        <v>19</v>
      </c>
      <c r="F83" s="4">
        <v>360</v>
      </c>
      <c r="G83" s="4">
        <f t="shared" si="1"/>
        <v>504</v>
      </c>
      <c r="H83" s="7">
        <f>Tableau1[[#This Row],[PV]]*Tableau1[[#This Row],[Qté]]</f>
        <v>9576</v>
      </c>
      <c r="I83" s="7">
        <f>Tableau1[[#This Row],[Qté]]*(Tableau1[[#This Row],[PV]]-Tableau1[[#This Row],[PA]])</f>
        <v>2736</v>
      </c>
    </row>
    <row r="84" spans="1:9" x14ac:dyDescent="0.25">
      <c r="A84" s="3">
        <v>44578</v>
      </c>
      <c r="B84" s="4" t="s">
        <v>6</v>
      </c>
      <c r="C84" s="4" t="s">
        <v>31</v>
      </c>
      <c r="D84" s="4" t="s">
        <v>26</v>
      </c>
      <c r="E84" s="4">
        <v>10</v>
      </c>
      <c r="F84" s="4">
        <v>228</v>
      </c>
      <c r="G84" s="4">
        <f t="shared" si="1"/>
        <v>319</v>
      </c>
      <c r="H84" s="7">
        <f>Tableau1[[#This Row],[PV]]*Tableau1[[#This Row],[Qté]]</f>
        <v>3190</v>
      </c>
      <c r="I84" s="7">
        <f>Tableau1[[#This Row],[Qté]]*(Tableau1[[#This Row],[PV]]-Tableau1[[#This Row],[PA]])</f>
        <v>910</v>
      </c>
    </row>
    <row r="85" spans="1:9" x14ac:dyDescent="0.25">
      <c r="A85" s="3">
        <v>44578</v>
      </c>
      <c r="B85" s="4" t="s">
        <v>23</v>
      </c>
      <c r="C85" s="4" t="s">
        <v>25</v>
      </c>
      <c r="D85" s="4" t="s">
        <v>28</v>
      </c>
      <c r="E85" s="4">
        <v>5</v>
      </c>
      <c r="F85" s="4">
        <v>382</v>
      </c>
      <c r="G85" s="4">
        <f t="shared" si="1"/>
        <v>534</v>
      </c>
      <c r="H85" s="7">
        <f>Tableau1[[#This Row],[PV]]*Tableau1[[#This Row],[Qté]]</f>
        <v>2670</v>
      </c>
      <c r="I85" s="7">
        <f>Tableau1[[#This Row],[Qté]]*(Tableau1[[#This Row],[PV]]-Tableau1[[#This Row],[PA]])</f>
        <v>760</v>
      </c>
    </row>
    <row r="86" spans="1:9" x14ac:dyDescent="0.25">
      <c r="A86" s="3">
        <v>44584</v>
      </c>
      <c r="B86" s="4" t="s">
        <v>7</v>
      </c>
      <c r="C86" s="4" t="s">
        <v>25</v>
      </c>
      <c r="D86" s="4" t="s">
        <v>37</v>
      </c>
      <c r="E86" s="4">
        <v>8</v>
      </c>
      <c r="F86" s="4">
        <v>474</v>
      </c>
      <c r="G86" s="4">
        <f t="shared" si="1"/>
        <v>663</v>
      </c>
      <c r="H86" s="7">
        <f>Tableau1[[#This Row],[PV]]*Tableau1[[#This Row],[Qté]]</f>
        <v>5304</v>
      </c>
      <c r="I86" s="7">
        <f>Tableau1[[#This Row],[Qté]]*(Tableau1[[#This Row],[PV]]-Tableau1[[#This Row],[PA]])</f>
        <v>1512</v>
      </c>
    </row>
    <row r="87" spans="1:9" x14ac:dyDescent="0.25">
      <c r="A87" s="3">
        <v>44584</v>
      </c>
      <c r="B87" s="4" t="s">
        <v>24</v>
      </c>
      <c r="C87" s="4" t="s">
        <v>25</v>
      </c>
      <c r="D87" s="4" t="s">
        <v>26</v>
      </c>
      <c r="E87" s="4">
        <v>10</v>
      </c>
      <c r="F87" s="4">
        <v>300</v>
      </c>
      <c r="G87" s="4">
        <f t="shared" si="1"/>
        <v>420</v>
      </c>
      <c r="H87" s="7">
        <f>Tableau1[[#This Row],[PV]]*Tableau1[[#This Row],[Qté]]</f>
        <v>4200</v>
      </c>
      <c r="I87" s="7">
        <f>Tableau1[[#This Row],[Qté]]*(Tableau1[[#This Row],[PV]]-Tableau1[[#This Row],[PA]])</f>
        <v>1200</v>
      </c>
    </row>
    <row r="88" spans="1:9" x14ac:dyDescent="0.25">
      <c r="A88" s="3">
        <v>44590</v>
      </c>
      <c r="B88" s="4" t="s">
        <v>8</v>
      </c>
      <c r="C88" s="4" t="s">
        <v>25</v>
      </c>
      <c r="D88" s="4" t="s">
        <v>30</v>
      </c>
      <c r="E88" s="4">
        <v>21</v>
      </c>
      <c r="F88" s="4">
        <v>206</v>
      </c>
      <c r="G88" s="4">
        <f t="shared" si="1"/>
        <v>288</v>
      </c>
      <c r="H88" s="7">
        <f>Tableau1[[#This Row],[PV]]*Tableau1[[#This Row],[Qté]]</f>
        <v>6048</v>
      </c>
      <c r="I88" s="7">
        <f>Tableau1[[#This Row],[Qté]]*(Tableau1[[#This Row],[PV]]-Tableau1[[#This Row],[PA]])</f>
        <v>1722</v>
      </c>
    </row>
    <row r="89" spans="1:9" x14ac:dyDescent="0.25">
      <c r="A89" s="3">
        <v>44590</v>
      </c>
      <c r="B89" s="4" t="s">
        <v>14</v>
      </c>
      <c r="C89" s="4" t="s">
        <v>27</v>
      </c>
      <c r="D89" s="4" t="s">
        <v>26</v>
      </c>
      <c r="E89" s="4">
        <v>19</v>
      </c>
      <c r="F89" s="4">
        <v>362</v>
      </c>
      <c r="G89" s="4">
        <f t="shared" si="1"/>
        <v>506</v>
      </c>
      <c r="H89" s="7">
        <f>Tableau1[[#This Row],[PV]]*Tableau1[[#This Row],[Qté]]</f>
        <v>9614</v>
      </c>
      <c r="I89" s="7">
        <f>Tableau1[[#This Row],[Qté]]*(Tableau1[[#This Row],[PV]]-Tableau1[[#This Row],[PA]])</f>
        <v>2736</v>
      </c>
    </row>
    <row r="90" spans="1:9" x14ac:dyDescent="0.25">
      <c r="A90" s="3">
        <v>44596</v>
      </c>
      <c r="B90" s="4" t="s">
        <v>9</v>
      </c>
      <c r="C90" s="4" t="s">
        <v>25</v>
      </c>
      <c r="D90" s="4" t="s">
        <v>26</v>
      </c>
      <c r="E90" s="4">
        <v>13</v>
      </c>
      <c r="F90" s="4">
        <v>278</v>
      </c>
      <c r="G90" s="4">
        <f t="shared" si="1"/>
        <v>389</v>
      </c>
      <c r="H90" s="7">
        <f>Tableau1[[#This Row],[PV]]*Tableau1[[#This Row],[Qté]]</f>
        <v>5057</v>
      </c>
      <c r="I90" s="7">
        <f>Tableau1[[#This Row],[Qté]]*(Tableau1[[#This Row],[PV]]-Tableau1[[#This Row],[PA]])</f>
        <v>1443</v>
      </c>
    </row>
    <row r="91" spans="1:9" x14ac:dyDescent="0.25">
      <c r="A91" s="3">
        <v>44596</v>
      </c>
      <c r="B91" s="4" t="s">
        <v>15</v>
      </c>
      <c r="C91" s="4" t="s">
        <v>25</v>
      </c>
      <c r="D91" s="4" t="s">
        <v>32</v>
      </c>
      <c r="E91" s="4">
        <v>14</v>
      </c>
      <c r="F91" s="4">
        <v>434</v>
      </c>
      <c r="G91" s="4">
        <f t="shared" si="1"/>
        <v>607</v>
      </c>
      <c r="H91" s="7">
        <f>Tableau1[[#This Row],[PV]]*Tableau1[[#This Row],[Qté]]</f>
        <v>8498</v>
      </c>
      <c r="I91" s="7">
        <f>Tableau1[[#This Row],[Qté]]*(Tableau1[[#This Row],[PV]]-Tableau1[[#This Row],[PA]])</f>
        <v>2422</v>
      </c>
    </row>
    <row r="92" spans="1:9" x14ac:dyDescent="0.25">
      <c r="A92" s="3">
        <v>44602</v>
      </c>
      <c r="B92" s="4" t="s">
        <v>10</v>
      </c>
      <c r="C92" s="4" t="s">
        <v>31</v>
      </c>
      <c r="D92" s="4" t="s">
        <v>30</v>
      </c>
      <c r="E92" s="4">
        <v>5</v>
      </c>
      <c r="F92" s="4">
        <v>255</v>
      </c>
      <c r="G92" s="4">
        <f t="shared" si="1"/>
        <v>357</v>
      </c>
      <c r="H92" s="7">
        <f>Tableau1[[#This Row],[PV]]*Tableau1[[#This Row],[Qté]]</f>
        <v>1785</v>
      </c>
      <c r="I92" s="7">
        <f>Tableau1[[#This Row],[Qté]]*(Tableau1[[#This Row],[PV]]-Tableau1[[#This Row],[PA]])</f>
        <v>510</v>
      </c>
    </row>
    <row r="93" spans="1:9" x14ac:dyDescent="0.25">
      <c r="A93" s="3">
        <v>44602</v>
      </c>
      <c r="B93" s="4" t="s">
        <v>16</v>
      </c>
      <c r="C93" s="4" t="s">
        <v>25</v>
      </c>
      <c r="D93" s="4" t="s">
        <v>28</v>
      </c>
      <c r="E93" s="4">
        <v>8</v>
      </c>
      <c r="F93" s="4">
        <v>407</v>
      </c>
      <c r="G93" s="4">
        <f t="shared" si="1"/>
        <v>569</v>
      </c>
      <c r="H93" s="7">
        <f>Tableau1[[#This Row],[PV]]*Tableau1[[#This Row],[Qté]]</f>
        <v>4552</v>
      </c>
      <c r="I93" s="7">
        <f>Tableau1[[#This Row],[Qté]]*(Tableau1[[#This Row],[PV]]-Tableau1[[#This Row],[PA]])</f>
        <v>1296</v>
      </c>
    </row>
    <row r="94" spans="1:9" x14ac:dyDescent="0.25">
      <c r="A94" s="3">
        <v>44608</v>
      </c>
      <c r="B94" s="4" t="s">
        <v>11</v>
      </c>
      <c r="C94" s="4" t="s">
        <v>27</v>
      </c>
      <c r="D94" s="4" t="s">
        <v>37</v>
      </c>
      <c r="E94" s="4">
        <v>17</v>
      </c>
      <c r="F94" s="4">
        <v>472</v>
      </c>
      <c r="G94" s="4">
        <f t="shared" si="1"/>
        <v>660</v>
      </c>
      <c r="H94" s="7">
        <f>Tableau1[[#This Row],[PV]]*Tableau1[[#This Row],[Qté]]</f>
        <v>11220</v>
      </c>
      <c r="I94" s="7">
        <f>Tableau1[[#This Row],[Qté]]*(Tableau1[[#This Row],[PV]]-Tableau1[[#This Row],[PA]])</f>
        <v>3196</v>
      </c>
    </row>
    <row r="95" spans="1:9" x14ac:dyDescent="0.25">
      <c r="A95" s="3">
        <v>44608</v>
      </c>
      <c r="B95" s="4" t="s">
        <v>17</v>
      </c>
      <c r="C95" s="4" t="s">
        <v>29</v>
      </c>
      <c r="D95" s="4" t="s">
        <v>26</v>
      </c>
      <c r="E95" s="4">
        <v>10</v>
      </c>
      <c r="F95" s="4">
        <v>265</v>
      </c>
      <c r="G95" s="4">
        <f t="shared" si="1"/>
        <v>371</v>
      </c>
      <c r="H95" s="7">
        <f>Tableau1[[#This Row],[PV]]*Tableau1[[#This Row],[Qté]]</f>
        <v>3710</v>
      </c>
      <c r="I95" s="7">
        <f>Tableau1[[#This Row],[Qté]]*(Tableau1[[#This Row],[PV]]-Tableau1[[#This Row],[PA]])</f>
        <v>1060</v>
      </c>
    </row>
    <row r="96" spans="1:9" x14ac:dyDescent="0.25">
      <c r="A96" s="3">
        <v>44614</v>
      </c>
      <c r="B96" s="4" t="s">
        <v>12</v>
      </c>
      <c r="C96" s="4" t="s">
        <v>31</v>
      </c>
      <c r="D96" s="4" t="s">
        <v>26</v>
      </c>
      <c r="E96" s="4">
        <v>19</v>
      </c>
      <c r="F96" s="4">
        <v>213</v>
      </c>
      <c r="G96" s="4">
        <f t="shared" si="1"/>
        <v>298</v>
      </c>
      <c r="H96" s="7">
        <f>Tableau1[[#This Row],[PV]]*Tableau1[[#This Row],[Qté]]</f>
        <v>5662</v>
      </c>
      <c r="I96" s="7">
        <f>Tableau1[[#This Row],[Qté]]*(Tableau1[[#This Row],[PV]]-Tableau1[[#This Row],[PA]])</f>
        <v>1615</v>
      </c>
    </row>
    <row r="97" spans="1:9" x14ac:dyDescent="0.25">
      <c r="A97" s="3">
        <v>44614</v>
      </c>
      <c r="B97" s="4" t="s">
        <v>18</v>
      </c>
      <c r="C97" s="4" t="s">
        <v>29</v>
      </c>
      <c r="D97" s="4" t="s">
        <v>37</v>
      </c>
      <c r="E97" s="4">
        <v>8</v>
      </c>
      <c r="F97" s="4">
        <v>427</v>
      </c>
      <c r="G97" s="4">
        <f t="shared" si="1"/>
        <v>597</v>
      </c>
      <c r="H97" s="7">
        <f>Tableau1[[#This Row],[PV]]*Tableau1[[#This Row],[Qté]]</f>
        <v>4776</v>
      </c>
      <c r="I97" s="7">
        <f>Tableau1[[#This Row],[Qté]]*(Tableau1[[#This Row],[PV]]-Tableau1[[#This Row],[PA]])</f>
        <v>1360</v>
      </c>
    </row>
    <row r="98" spans="1:9" x14ac:dyDescent="0.25">
      <c r="A98" s="3">
        <v>44620</v>
      </c>
      <c r="B98" s="4" t="s">
        <v>13</v>
      </c>
      <c r="C98" s="4" t="s">
        <v>27</v>
      </c>
      <c r="D98" s="4" t="s">
        <v>30</v>
      </c>
      <c r="E98" s="4">
        <v>10</v>
      </c>
      <c r="F98" s="4">
        <v>478</v>
      </c>
      <c r="G98" s="4">
        <f t="shared" si="1"/>
        <v>669</v>
      </c>
      <c r="H98" s="7">
        <f>Tableau1[[#This Row],[PV]]*Tableau1[[#This Row],[Qté]]</f>
        <v>6690</v>
      </c>
      <c r="I98" s="7">
        <f>Tableau1[[#This Row],[Qté]]*(Tableau1[[#This Row],[PV]]-Tableau1[[#This Row],[PA]])</f>
        <v>1910</v>
      </c>
    </row>
    <row r="99" spans="1:9" x14ac:dyDescent="0.25">
      <c r="A99" s="3">
        <v>44620</v>
      </c>
      <c r="B99" s="4" t="s">
        <v>19</v>
      </c>
      <c r="C99" s="4" t="s">
        <v>31</v>
      </c>
      <c r="D99" s="4" t="s">
        <v>28</v>
      </c>
      <c r="E99" s="4">
        <v>21</v>
      </c>
      <c r="F99" s="4">
        <v>224</v>
      </c>
      <c r="G99" s="4">
        <f t="shared" si="1"/>
        <v>313</v>
      </c>
      <c r="H99" s="7">
        <f>Tableau1[[#This Row],[PV]]*Tableau1[[#This Row],[Qté]]</f>
        <v>6573</v>
      </c>
      <c r="I99" s="7">
        <f>Tableau1[[#This Row],[Qté]]*(Tableau1[[#This Row],[PV]]-Tableau1[[#This Row],[PA]])</f>
        <v>1869</v>
      </c>
    </row>
    <row r="100" spans="1:9" x14ac:dyDescent="0.25">
      <c r="A100" s="3">
        <v>44626</v>
      </c>
      <c r="B100" s="4" t="s">
        <v>14</v>
      </c>
      <c r="C100" s="4" t="s">
        <v>27</v>
      </c>
      <c r="D100" s="4" t="s">
        <v>30</v>
      </c>
      <c r="E100" s="4">
        <v>19</v>
      </c>
      <c r="F100" s="4">
        <v>362</v>
      </c>
      <c r="G100" s="4">
        <f t="shared" si="1"/>
        <v>506</v>
      </c>
      <c r="H100" s="7">
        <f>Tableau1[[#This Row],[PV]]*Tableau1[[#This Row],[Qté]]</f>
        <v>9614</v>
      </c>
      <c r="I100" s="7">
        <f>Tableau1[[#This Row],[Qté]]*(Tableau1[[#This Row],[PV]]-Tableau1[[#This Row],[PA]])</f>
        <v>2736</v>
      </c>
    </row>
    <row r="101" spans="1:9" x14ac:dyDescent="0.25">
      <c r="A101" s="3">
        <v>44626</v>
      </c>
      <c r="B101" s="4" t="s">
        <v>20</v>
      </c>
      <c r="C101" s="4" t="s">
        <v>27</v>
      </c>
      <c r="D101" s="4" t="s">
        <v>32</v>
      </c>
      <c r="E101" s="4">
        <v>13</v>
      </c>
      <c r="F101" s="4">
        <v>270</v>
      </c>
      <c r="G101" s="4">
        <f t="shared" si="1"/>
        <v>378</v>
      </c>
      <c r="H101" s="7">
        <f>Tableau1[[#This Row],[PV]]*Tableau1[[#This Row],[Qté]]</f>
        <v>4914</v>
      </c>
      <c r="I101" s="7">
        <f>Tableau1[[#This Row],[Qté]]*(Tableau1[[#This Row],[PV]]-Tableau1[[#This Row],[PA]])</f>
        <v>1404</v>
      </c>
    </row>
    <row r="102" spans="1:9" x14ac:dyDescent="0.25">
      <c r="A102" s="3">
        <v>44632</v>
      </c>
      <c r="B102" s="4" t="s">
        <v>15</v>
      </c>
      <c r="C102" s="4" t="s">
        <v>25</v>
      </c>
      <c r="D102" s="4" t="s">
        <v>30</v>
      </c>
      <c r="E102" s="4">
        <v>14</v>
      </c>
      <c r="F102" s="4">
        <v>434</v>
      </c>
      <c r="G102" s="4">
        <f t="shared" si="1"/>
        <v>607</v>
      </c>
      <c r="H102" s="7">
        <f>Tableau1[[#This Row],[PV]]*Tableau1[[#This Row],[Qté]]</f>
        <v>8498</v>
      </c>
      <c r="I102" s="7">
        <f>Tableau1[[#This Row],[Qté]]*(Tableau1[[#This Row],[PV]]-Tableau1[[#This Row],[PA]])</f>
        <v>2422</v>
      </c>
    </row>
    <row r="103" spans="1:9" x14ac:dyDescent="0.25">
      <c r="A103" s="3">
        <v>44632</v>
      </c>
      <c r="B103" s="4" t="s">
        <v>21</v>
      </c>
      <c r="C103" s="4" t="s">
        <v>25</v>
      </c>
      <c r="D103" s="4" t="s">
        <v>37</v>
      </c>
      <c r="E103" s="4">
        <v>5</v>
      </c>
      <c r="F103" s="4">
        <v>385</v>
      </c>
      <c r="G103" s="4">
        <f t="shared" si="1"/>
        <v>539</v>
      </c>
      <c r="H103" s="7">
        <f>Tableau1[[#This Row],[PV]]*Tableau1[[#This Row],[Qté]]</f>
        <v>2695</v>
      </c>
      <c r="I103" s="7">
        <f>Tableau1[[#This Row],[Qté]]*(Tableau1[[#This Row],[PV]]-Tableau1[[#This Row],[PA]])</f>
        <v>770</v>
      </c>
    </row>
    <row r="104" spans="1:9" x14ac:dyDescent="0.25">
      <c r="A104" s="3">
        <v>44638</v>
      </c>
      <c r="B104" s="4" t="s">
        <v>16</v>
      </c>
      <c r="C104" s="4" t="s">
        <v>29</v>
      </c>
      <c r="D104" s="4" t="s">
        <v>26</v>
      </c>
      <c r="E104" s="4">
        <v>8</v>
      </c>
      <c r="F104" s="4">
        <v>407</v>
      </c>
      <c r="G104" s="4">
        <f t="shared" si="1"/>
        <v>569</v>
      </c>
      <c r="H104" s="7">
        <f>Tableau1[[#This Row],[PV]]*Tableau1[[#This Row],[Qté]]</f>
        <v>4552</v>
      </c>
      <c r="I104" s="7">
        <f>Tableau1[[#This Row],[Qté]]*(Tableau1[[#This Row],[PV]]-Tableau1[[#This Row],[PA]])</f>
        <v>1296</v>
      </c>
    </row>
    <row r="105" spans="1:9" x14ac:dyDescent="0.25">
      <c r="A105" s="3">
        <v>44638</v>
      </c>
      <c r="B105" s="4" t="s">
        <v>22</v>
      </c>
      <c r="C105" s="4" t="s">
        <v>31</v>
      </c>
      <c r="D105" s="4" t="s">
        <v>30</v>
      </c>
      <c r="E105" s="4">
        <v>15</v>
      </c>
      <c r="F105" s="4">
        <v>105</v>
      </c>
      <c r="G105" s="4">
        <f t="shared" si="1"/>
        <v>147</v>
      </c>
      <c r="H105" s="7">
        <f>Tableau1[[#This Row],[PV]]*Tableau1[[#This Row],[Qté]]</f>
        <v>2205</v>
      </c>
      <c r="I105" s="7">
        <f>Tableau1[[#This Row],[Qté]]*(Tableau1[[#This Row],[PV]]-Tableau1[[#This Row],[PA]])</f>
        <v>630</v>
      </c>
    </row>
    <row r="106" spans="1:9" x14ac:dyDescent="0.25">
      <c r="A106" s="3">
        <v>44644</v>
      </c>
      <c r="B106" s="4" t="s">
        <v>17</v>
      </c>
      <c r="C106" s="4" t="s">
        <v>25</v>
      </c>
      <c r="D106" s="4" t="s">
        <v>28</v>
      </c>
      <c r="E106" s="4">
        <v>6</v>
      </c>
      <c r="F106" s="4">
        <v>265</v>
      </c>
      <c r="G106" s="4">
        <f t="shared" si="1"/>
        <v>371</v>
      </c>
      <c r="H106" s="7">
        <f>Tableau1[[#This Row],[PV]]*Tableau1[[#This Row],[Qté]]</f>
        <v>2226</v>
      </c>
      <c r="I106" s="7">
        <f>Tableau1[[#This Row],[Qté]]*(Tableau1[[#This Row],[PV]]-Tableau1[[#This Row],[PA]])</f>
        <v>636</v>
      </c>
    </row>
    <row r="107" spans="1:9" x14ac:dyDescent="0.25">
      <c r="A107" s="3">
        <v>44644</v>
      </c>
      <c r="B107" s="4" t="s">
        <v>23</v>
      </c>
      <c r="C107" s="4" t="s">
        <v>27</v>
      </c>
      <c r="D107" s="4" t="s">
        <v>37</v>
      </c>
      <c r="E107" s="4">
        <v>23</v>
      </c>
      <c r="F107" s="4">
        <v>382</v>
      </c>
      <c r="G107" s="4">
        <f t="shared" si="1"/>
        <v>534</v>
      </c>
      <c r="H107" s="7">
        <f>Tableau1[[#This Row],[PV]]*Tableau1[[#This Row],[Qté]]</f>
        <v>12282</v>
      </c>
      <c r="I107" s="7">
        <f>Tableau1[[#This Row],[Qté]]*(Tableau1[[#This Row],[PV]]-Tableau1[[#This Row],[PA]])</f>
        <v>3496</v>
      </c>
    </row>
    <row r="108" spans="1:9" x14ac:dyDescent="0.25">
      <c r="A108" s="3">
        <v>44650</v>
      </c>
      <c r="B108" s="4" t="s">
        <v>18</v>
      </c>
      <c r="C108" s="4" t="s">
        <v>29</v>
      </c>
      <c r="D108" s="4" t="s">
        <v>26</v>
      </c>
      <c r="E108" s="4">
        <v>18</v>
      </c>
      <c r="F108" s="4">
        <v>427</v>
      </c>
      <c r="G108" s="4">
        <f t="shared" si="1"/>
        <v>597</v>
      </c>
      <c r="H108" s="7">
        <f>Tableau1[[#This Row],[PV]]*Tableau1[[#This Row],[Qté]]</f>
        <v>10746</v>
      </c>
      <c r="I108" s="7">
        <f>Tableau1[[#This Row],[Qté]]*(Tableau1[[#This Row],[PV]]-Tableau1[[#This Row],[PA]])</f>
        <v>3060</v>
      </c>
    </row>
    <row r="109" spans="1:9" x14ac:dyDescent="0.25">
      <c r="A109" s="3">
        <v>44650</v>
      </c>
      <c r="B109" s="4" t="s">
        <v>24</v>
      </c>
      <c r="C109" s="4" t="s">
        <v>29</v>
      </c>
      <c r="D109" s="4" t="s">
        <v>32</v>
      </c>
      <c r="E109" s="4">
        <v>19</v>
      </c>
      <c r="F109" s="4">
        <v>300</v>
      </c>
      <c r="G109" s="4">
        <f t="shared" si="1"/>
        <v>420</v>
      </c>
      <c r="H109" s="7">
        <f>Tableau1[[#This Row],[PV]]*Tableau1[[#This Row],[Qté]]</f>
        <v>7980</v>
      </c>
      <c r="I109" s="7">
        <f>Tableau1[[#This Row],[Qté]]*(Tableau1[[#This Row],[PV]]-Tableau1[[#This Row],[PA]])</f>
        <v>2280</v>
      </c>
    </row>
    <row r="110" spans="1:9" x14ac:dyDescent="0.25">
      <c r="A110" s="3">
        <v>44656</v>
      </c>
      <c r="B110" s="4" t="s">
        <v>19</v>
      </c>
      <c r="C110" s="4" t="s">
        <v>25</v>
      </c>
      <c r="D110" s="4" t="s">
        <v>37</v>
      </c>
      <c r="E110" s="4">
        <v>6</v>
      </c>
      <c r="F110" s="4">
        <v>224</v>
      </c>
      <c r="G110" s="4">
        <f t="shared" si="1"/>
        <v>313</v>
      </c>
      <c r="H110" s="7">
        <f>Tableau1[[#This Row],[PV]]*Tableau1[[#This Row],[Qté]]</f>
        <v>1878</v>
      </c>
      <c r="I110" s="7">
        <f>Tableau1[[#This Row],[Qté]]*(Tableau1[[#This Row],[PV]]-Tableau1[[#This Row],[PA]])</f>
        <v>534</v>
      </c>
    </row>
    <row r="111" spans="1:9" x14ac:dyDescent="0.25">
      <c r="A111" s="3">
        <v>44656</v>
      </c>
      <c r="B111" s="4" t="s">
        <v>11</v>
      </c>
      <c r="C111" s="4" t="s">
        <v>25</v>
      </c>
      <c r="D111" s="4" t="s">
        <v>37</v>
      </c>
      <c r="E111" s="4">
        <v>24</v>
      </c>
      <c r="F111" s="4">
        <v>472</v>
      </c>
      <c r="G111" s="4">
        <f t="shared" si="1"/>
        <v>660</v>
      </c>
      <c r="H111" s="7">
        <f>Tableau1[[#This Row],[PV]]*Tableau1[[#This Row],[Qté]]</f>
        <v>15840</v>
      </c>
      <c r="I111" s="7">
        <f>Tableau1[[#This Row],[Qté]]*(Tableau1[[#This Row],[PV]]-Tableau1[[#This Row],[PA]])</f>
        <v>4512</v>
      </c>
    </row>
    <row r="112" spans="1:9" x14ac:dyDescent="0.25">
      <c r="A112" s="3">
        <v>44662</v>
      </c>
      <c r="B112" s="4" t="s">
        <v>20</v>
      </c>
      <c r="C112" s="4" t="s">
        <v>25</v>
      </c>
      <c r="D112" s="4" t="s">
        <v>28</v>
      </c>
      <c r="E112" s="4">
        <v>14</v>
      </c>
      <c r="F112" s="4">
        <v>270</v>
      </c>
      <c r="G112" s="4">
        <f t="shared" si="1"/>
        <v>378</v>
      </c>
      <c r="H112" s="7">
        <f>Tableau1[[#This Row],[PV]]*Tableau1[[#This Row],[Qté]]</f>
        <v>5292</v>
      </c>
      <c r="I112" s="7">
        <f>Tableau1[[#This Row],[Qté]]*(Tableau1[[#This Row],[PV]]-Tableau1[[#This Row],[PA]])</f>
        <v>1512</v>
      </c>
    </row>
    <row r="113" spans="1:9" x14ac:dyDescent="0.25">
      <c r="A113" s="3">
        <v>44662</v>
      </c>
      <c r="B113" s="4" t="s">
        <v>12</v>
      </c>
      <c r="C113" s="4" t="s">
        <v>29</v>
      </c>
      <c r="D113" s="4" t="s">
        <v>28</v>
      </c>
      <c r="E113" s="4">
        <v>21</v>
      </c>
      <c r="F113" s="4">
        <v>213</v>
      </c>
      <c r="G113" s="4">
        <f t="shared" si="1"/>
        <v>298</v>
      </c>
      <c r="H113" s="7">
        <f>Tableau1[[#This Row],[PV]]*Tableau1[[#This Row],[Qté]]</f>
        <v>6258</v>
      </c>
      <c r="I113" s="7">
        <f>Tableau1[[#This Row],[Qté]]*(Tableau1[[#This Row],[PV]]-Tableau1[[#This Row],[PA]])</f>
        <v>1785</v>
      </c>
    </row>
    <row r="114" spans="1:9" x14ac:dyDescent="0.25">
      <c r="A114" s="3">
        <v>44668</v>
      </c>
      <c r="B114" s="4" t="s">
        <v>21</v>
      </c>
      <c r="C114" s="4" t="s">
        <v>27</v>
      </c>
      <c r="D114" s="4" t="s">
        <v>30</v>
      </c>
      <c r="E114" s="4">
        <v>5</v>
      </c>
      <c r="F114" s="4">
        <v>385</v>
      </c>
      <c r="G114" s="4">
        <f t="shared" si="1"/>
        <v>539</v>
      </c>
      <c r="H114" s="7">
        <f>Tableau1[[#This Row],[PV]]*Tableau1[[#This Row],[Qté]]</f>
        <v>2695</v>
      </c>
      <c r="I114" s="7">
        <f>Tableau1[[#This Row],[Qté]]*(Tableau1[[#This Row],[PV]]-Tableau1[[#This Row],[PA]])</f>
        <v>770</v>
      </c>
    </row>
    <row r="115" spans="1:9" x14ac:dyDescent="0.25">
      <c r="A115" s="3">
        <v>44668</v>
      </c>
      <c r="B115" s="4" t="s">
        <v>13</v>
      </c>
      <c r="C115" s="4" t="s">
        <v>29</v>
      </c>
      <c r="D115" s="4" t="s">
        <v>37</v>
      </c>
      <c r="E115" s="4">
        <v>20</v>
      </c>
      <c r="F115" s="4">
        <v>478</v>
      </c>
      <c r="G115" s="4">
        <f t="shared" si="1"/>
        <v>669</v>
      </c>
      <c r="H115" s="7">
        <f>Tableau1[[#This Row],[PV]]*Tableau1[[#This Row],[Qté]]</f>
        <v>13380</v>
      </c>
      <c r="I115" s="7">
        <f>Tableau1[[#This Row],[Qté]]*(Tableau1[[#This Row],[PV]]-Tableau1[[#This Row],[PA]])</f>
        <v>3820</v>
      </c>
    </row>
    <row r="116" spans="1:9" x14ac:dyDescent="0.25">
      <c r="A116" s="3">
        <v>44674</v>
      </c>
      <c r="B116" s="4" t="s">
        <v>22</v>
      </c>
      <c r="C116" s="4" t="s">
        <v>29</v>
      </c>
      <c r="D116" s="4" t="s">
        <v>28</v>
      </c>
      <c r="E116" s="4">
        <v>16</v>
      </c>
      <c r="F116" s="4">
        <v>105</v>
      </c>
      <c r="G116" s="4">
        <f t="shared" si="1"/>
        <v>147</v>
      </c>
      <c r="H116" s="7">
        <f>Tableau1[[#This Row],[PV]]*Tableau1[[#This Row],[Qté]]</f>
        <v>2352</v>
      </c>
      <c r="I116" s="7">
        <f>Tableau1[[#This Row],[Qté]]*(Tableau1[[#This Row],[PV]]-Tableau1[[#This Row],[PA]])</f>
        <v>672</v>
      </c>
    </row>
    <row r="117" spans="1:9" x14ac:dyDescent="0.25">
      <c r="A117" s="3">
        <v>44674</v>
      </c>
      <c r="B117" s="4" t="s">
        <v>14</v>
      </c>
      <c r="C117" s="4" t="s">
        <v>29</v>
      </c>
      <c r="D117" s="4" t="s">
        <v>32</v>
      </c>
      <c r="E117" s="4">
        <v>22</v>
      </c>
      <c r="F117" s="4">
        <v>362</v>
      </c>
      <c r="G117" s="4">
        <f t="shared" si="1"/>
        <v>506</v>
      </c>
      <c r="H117" s="7">
        <f>Tableau1[[#This Row],[PV]]*Tableau1[[#This Row],[Qté]]</f>
        <v>11132</v>
      </c>
      <c r="I117" s="7">
        <f>Tableau1[[#This Row],[Qté]]*(Tableau1[[#This Row],[PV]]-Tableau1[[#This Row],[PA]])</f>
        <v>3168</v>
      </c>
    </row>
    <row r="118" spans="1:9" x14ac:dyDescent="0.25">
      <c r="A118" s="3">
        <v>44680</v>
      </c>
      <c r="B118" s="4" t="s">
        <v>23</v>
      </c>
      <c r="C118" s="4" t="s">
        <v>25</v>
      </c>
      <c r="D118" s="4" t="s">
        <v>37</v>
      </c>
      <c r="E118" s="4">
        <v>8</v>
      </c>
      <c r="F118" s="4">
        <v>382</v>
      </c>
      <c r="G118" s="4">
        <f t="shared" si="1"/>
        <v>534</v>
      </c>
      <c r="H118" s="7">
        <f>Tableau1[[#This Row],[PV]]*Tableau1[[#This Row],[Qté]]</f>
        <v>4272</v>
      </c>
      <c r="I118" s="7">
        <f>Tableau1[[#This Row],[Qté]]*(Tableau1[[#This Row],[PV]]-Tableau1[[#This Row],[PA]])</f>
        <v>1216</v>
      </c>
    </row>
    <row r="119" spans="1:9" x14ac:dyDescent="0.25">
      <c r="A119" s="3">
        <v>44680</v>
      </c>
      <c r="B119" s="4" t="s">
        <v>15</v>
      </c>
      <c r="C119" s="4" t="s">
        <v>25</v>
      </c>
      <c r="D119" s="4" t="s">
        <v>28</v>
      </c>
      <c r="E119" s="4">
        <v>10</v>
      </c>
      <c r="F119" s="4">
        <v>434</v>
      </c>
      <c r="G119" s="4">
        <f t="shared" si="1"/>
        <v>607</v>
      </c>
      <c r="H119" s="7">
        <f>Tableau1[[#This Row],[PV]]*Tableau1[[#This Row],[Qté]]</f>
        <v>6070</v>
      </c>
      <c r="I119" s="7">
        <f>Tableau1[[#This Row],[Qté]]*(Tableau1[[#This Row],[PV]]-Tableau1[[#This Row],[PA]])</f>
        <v>1730</v>
      </c>
    </row>
    <row r="120" spans="1:9" x14ac:dyDescent="0.25">
      <c r="A120" s="3">
        <v>44686</v>
      </c>
      <c r="B120" s="4" t="s">
        <v>24</v>
      </c>
      <c r="C120" s="4" t="s">
        <v>31</v>
      </c>
      <c r="D120" s="4" t="s">
        <v>37</v>
      </c>
      <c r="E120" s="4">
        <v>21</v>
      </c>
      <c r="F120" s="4">
        <v>300</v>
      </c>
      <c r="G120" s="4">
        <f t="shared" si="1"/>
        <v>420</v>
      </c>
      <c r="H120" s="7">
        <f>Tableau1[[#This Row],[PV]]*Tableau1[[#This Row],[Qté]]</f>
        <v>8820</v>
      </c>
      <c r="I120" s="7">
        <f>Tableau1[[#This Row],[Qté]]*(Tableau1[[#This Row],[PV]]-Tableau1[[#This Row],[PA]])</f>
        <v>2520</v>
      </c>
    </row>
    <row r="121" spans="1:9" x14ac:dyDescent="0.25">
      <c r="A121" s="3">
        <v>44686</v>
      </c>
      <c r="B121" s="4" t="s">
        <v>16</v>
      </c>
      <c r="C121" s="4" t="s">
        <v>25</v>
      </c>
      <c r="D121" s="4" t="s">
        <v>30</v>
      </c>
      <c r="E121" s="4">
        <v>19</v>
      </c>
      <c r="F121" s="4">
        <v>407</v>
      </c>
      <c r="G121" s="4">
        <f t="shared" si="1"/>
        <v>569</v>
      </c>
      <c r="H121" s="7">
        <f>Tableau1[[#This Row],[PV]]*Tableau1[[#This Row],[Qté]]</f>
        <v>10811</v>
      </c>
      <c r="I121" s="7">
        <f>Tableau1[[#This Row],[Qté]]*(Tableau1[[#This Row],[PV]]-Tableau1[[#This Row],[PA]])</f>
        <v>3078</v>
      </c>
    </row>
    <row r="122" spans="1:9" x14ac:dyDescent="0.25">
      <c r="A122" s="3">
        <v>44692</v>
      </c>
      <c r="B122" s="4" t="s">
        <v>5</v>
      </c>
      <c r="C122" s="4" t="s">
        <v>27</v>
      </c>
      <c r="D122" s="4" t="s">
        <v>32</v>
      </c>
      <c r="E122" s="4">
        <v>13</v>
      </c>
      <c r="F122" s="4">
        <v>360</v>
      </c>
      <c r="G122" s="4">
        <f t="shared" si="1"/>
        <v>504</v>
      </c>
      <c r="H122" s="7">
        <f>Tableau1[[#This Row],[PV]]*Tableau1[[#This Row],[Qté]]</f>
        <v>6552</v>
      </c>
      <c r="I122" s="7">
        <f>Tableau1[[#This Row],[Qté]]*(Tableau1[[#This Row],[PV]]-Tableau1[[#This Row],[PA]])</f>
        <v>1872</v>
      </c>
    </row>
    <row r="123" spans="1:9" x14ac:dyDescent="0.25">
      <c r="A123" s="3">
        <v>44692</v>
      </c>
      <c r="B123" s="4" t="s">
        <v>17</v>
      </c>
      <c r="C123" s="4" t="s">
        <v>31</v>
      </c>
      <c r="D123" s="4" t="s">
        <v>28</v>
      </c>
      <c r="E123" s="4">
        <v>14</v>
      </c>
      <c r="F123" s="4">
        <v>265</v>
      </c>
      <c r="G123" s="4">
        <f t="shared" si="1"/>
        <v>371</v>
      </c>
      <c r="H123" s="7">
        <f>Tableau1[[#This Row],[PV]]*Tableau1[[#This Row],[Qté]]</f>
        <v>5194</v>
      </c>
      <c r="I123" s="7">
        <f>Tableau1[[#This Row],[Qté]]*(Tableau1[[#This Row],[PV]]-Tableau1[[#This Row],[PA]])</f>
        <v>1484</v>
      </c>
    </row>
    <row r="124" spans="1:9" x14ac:dyDescent="0.25">
      <c r="A124" s="3">
        <v>44698</v>
      </c>
      <c r="B124" s="4" t="s">
        <v>6</v>
      </c>
      <c r="C124" s="4" t="s">
        <v>29</v>
      </c>
      <c r="D124" s="4" t="s">
        <v>26</v>
      </c>
      <c r="E124" s="4">
        <v>5</v>
      </c>
      <c r="F124" s="4">
        <v>228</v>
      </c>
      <c r="G124" s="4">
        <f t="shared" si="1"/>
        <v>319</v>
      </c>
      <c r="H124" s="7">
        <f>Tableau1[[#This Row],[PV]]*Tableau1[[#This Row],[Qté]]</f>
        <v>1595</v>
      </c>
      <c r="I124" s="7">
        <f>Tableau1[[#This Row],[Qté]]*(Tableau1[[#This Row],[PV]]-Tableau1[[#This Row],[PA]])</f>
        <v>455</v>
      </c>
    </row>
    <row r="125" spans="1:9" x14ac:dyDescent="0.25">
      <c r="A125" s="3">
        <v>44698</v>
      </c>
      <c r="B125" s="4" t="s">
        <v>18</v>
      </c>
      <c r="C125" s="4" t="s">
        <v>31</v>
      </c>
      <c r="D125" s="4" t="s">
        <v>32</v>
      </c>
      <c r="E125" s="4">
        <v>8</v>
      </c>
      <c r="F125" s="4">
        <v>427</v>
      </c>
      <c r="G125" s="4">
        <f t="shared" si="1"/>
        <v>597</v>
      </c>
      <c r="H125" s="7">
        <f>Tableau1[[#This Row],[PV]]*Tableau1[[#This Row],[Qté]]</f>
        <v>4776</v>
      </c>
      <c r="I125" s="7">
        <f>Tableau1[[#This Row],[Qté]]*(Tableau1[[#This Row],[PV]]-Tableau1[[#This Row],[PA]])</f>
        <v>1360</v>
      </c>
    </row>
    <row r="126" spans="1:9" x14ac:dyDescent="0.25">
      <c r="A126" s="3">
        <v>44704</v>
      </c>
      <c r="B126" s="4" t="s">
        <v>7</v>
      </c>
      <c r="C126" s="4" t="s">
        <v>31</v>
      </c>
      <c r="D126" s="4" t="s">
        <v>32</v>
      </c>
      <c r="E126" s="4">
        <v>18</v>
      </c>
      <c r="F126" s="4">
        <v>474</v>
      </c>
      <c r="G126" s="4">
        <f t="shared" si="1"/>
        <v>663</v>
      </c>
      <c r="H126" s="7">
        <f>Tableau1[[#This Row],[PV]]*Tableau1[[#This Row],[Qté]]</f>
        <v>11934</v>
      </c>
      <c r="I126" s="7">
        <f>Tableau1[[#This Row],[Qté]]*(Tableau1[[#This Row],[PV]]-Tableau1[[#This Row],[PA]])</f>
        <v>3402</v>
      </c>
    </row>
    <row r="127" spans="1:9" x14ac:dyDescent="0.25">
      <c r="A127" s="3">
        <v>44704</v>
      </c>
      <c r="B127" s="4" t="s">
        <v>19</v>
      </c>
      <c r="C127" s="4" t="s">
        <v>29</v>
      </c>
      <c r="D127" s="4" t="s">
        <v>37</v>
      </c>
      <c r="E127" s="4">
        <v>10</v>
      </c>
      <c r="F127" s="4">
        <v>224</v>
      </c>
      <c r="G127" s="4">
        <f t="shared" si="1"/>
        <v>313</v>
      </c>
      <c r="H127" s="7">
        <f>Tableau1[[#This Row],[PV]]*Tableau1[[#This Row],[Qté]]</f>
        <v>3130</v>
      </c>
      <c r="I127" s="7">
        <f>Tableau1[[#This Row],[Qté]]*(Tableau1[[#This Row],[PV]]-Tableau1[[#This Row],[PA]])</f>
        <v>890</v>
      </c>
    </row>
    <row r="128" spans="1:9" x14ac:dyDescent="0.25">
      <c r="A128" s="3">
        <v>44710</v>
      </c>
      <c r="B128" s="4" t="s">
        <v>8</v>
      </c>
      <c r="C128" s="4" t="s">
        <v>25</v>
      </c>
      <c r="D128" s="4" t="s">
        <v>26</v>
      </c>
      <c r="E128" s="4">
        <v>18</v>
      </c>
      <c r="F128" s="4">
        <v>206</v>
      </c>
      <c r="G128" s="4">
        <f t="shared" si="1"/>
        <v>288</v>
      </c>
      <c r="H128" s="7">
        <f>Tableau1[[#This Row],[PV]]*Tableau1[[#This Row],[Qté]]</f>
        <v>5184</v>
      </c>
      <c r="I128" s="7">
        <f>Tableau1[[#This Row],[Qté]]*(Tableau1[[#This Row],[PV]]-Tableau1[[#This Row],[PA]])</f>
        <v>1476</v>
      </c>
    </row>
    <row r="129" spans="1:9" x14ac:dyDescent="0.25">
      <c r="A129" s="3">
        <v>44710</v>
      </c>
      <c r="B129" s="4" t="s">
        <v>5</v>
      </c>
      <c r="C129" s="4" t="s">
        <v>31</v>
      </c>
      <c r="D129" s="4" t="s">
        <v>30</v>
      </c>
      <c r="E129" s="4">
        <v>19</v>
      </c>
      <c r="F129" s="4">
        <v>360</v>
      </c>
      <c r="G129" s="4">
        <f t="shared" si="1"/>
        <v>504</v>
      </c>
      <c r="H129" s="7">
        <f>Tableau1[[#This Row],[PV]]*Tableau1[[#This Row],[Qté]]</f>
        <v>9576</v>
      </c>
      <c r="I129" s="7">
        <f>Tableau1[[#This Row],[Qté]]*(Tableau1[[#This Row],[PV]]-Tableau1[[#This Row],[PA]])</f>
        <v>2736</v>
      </c>
    </row>
    <row r="130" spans="1:9" x14ac:dyDescent="0.25">
      <c r="A130" s="3">
        <v>44716</v>
      </c>
      <c r="B130" s="4" t="s">
        <v>9</v>
      </c>
      <c r="C130" s="4" t="s">
        <v>25</v>
      </c>
      <c r="D130" s="4" t="s">
        <v>37</v>
      </c>
      <c r="E130" s="4">
        <v>7</v>
      </c>
      <c r="F130" s="4">
        <v>278</v>
      </c>
      <c r="G130" s="4">
        <f t="shared" ref="G130:G164" si="2">INT(F130*1.4)</f>
        <v>389</v>
      </c>
      <c r="H130" s="7">
        <f>Tableau1[[#This Row],[PV]]*Tableau1[[#This Row],[Qté]]</f>
        <v>2723</v>
      </c>
      <c r="I130" s="7">
        <f>Tableau1[[#This Row],[Qté]]*(Tableau1[[#This Row],[PV]]-Tableau1[[#This Row],[PA]])</f>
        <v>777</v>
      </c>
    </row>
    <row r="131" spans="1:9" x14ac:dyDescent="0.25">
      <c r="A131" s="3">
        <v>44716</v>
      </c>
      <c r="B131" s="4" t="s">
        <v>6</v>
      </c>
      <c r="C131" s="4" t="s">
        <v>31</v>
      </c>
      <c r="D131" s="4" t="s">
        <v>32</v>
      </c>
      <c r="E131" s="4">
        <v>14</v>
      </c>
      <c r="F131" s="4">
        <v>228</v>
      </c>
      <c r="G131" s="4">
        <f t="shared" si="2"/>
        <v>319</v>
      </c>
      <c r="H131" s="7">
        <f>Tableau1[[#This Row],[PV]]*Tableau1[[#This Row],[Qté]]</f>
        <v>4466</v>
      </c>
      <c r="I131" s="7">
        <f>Tableau1[[#This Row],[Qté]]*(Tableau1[[#This Row],[PV]]-Tableau1[[#This Row],[PA]])</f>
        <v>1274</v>
      </c>
    </row>
    <row r="132" spans="1:9" x14ac:dyDescent="0.25">
      <c r="A132" s="3">
        <v>44722</v>
      </c>
      <c r="B132" s="4" t="s">
        <v>10</v>
      </c>
      <c r="C132" s="4" t="s">
        <v>31</v>
      </c>
      <c r="D132" s="4" t="s">
        <v>30</v>
      </c>
      <c r="E132" s="4">
        <v>16</v>
      </c>
      <c r="F132" s="4">
        <v>255</v>
      </c>
      <c r="G132" s="4">
        <f t="shared" si="2"/>
        <v>357</v>
      </c>
      <c r="H132" s="7">
        <f>Tableau1[[#This Row],[PV]]*Tableau1[[#This Row],[Qté]]</f>
        <v>5712</v>
      </c>
      <c r="I132" s="7">
        <f>Tableau1[[#This Row],[Qté]]*(Tableau1[[#This Row],[PV]]-Tableau1[[#This Row],[PA]])</f>
        <v>1632</v>
      </c>
    </row>
    <row r="133" spans="1:9" x14ac:dyDescent="0.25">
      <c r="A133" s="3">
        <v>44722</v>
      </c>
      <c r="B133" s="4" t="s">
        <v>7</v>
      </c>
      <c r="C133" s="4" t="s">
        <v>29</v>
      </c>
      <c r="D133" s="4" t="s">
        <v>30</v>
      </c>
      <c r="E133" s="4">
        <v>8</v>
      </c>
      <c r="F133" s="4">
        <v>474</v>
      </c>
      <c r="G133" s="4">
        <f t="shared" si="2"/>
        <v>663</v>
      </c>
      <c r="H133" s="7">
        <f>Tableau1[[#This Row],[PV]]*Tableau1[[#This Row],[Qté]]</f>
        <v>5304</v>
      </c>
      <c r="I133" s="7">
        <f>Tableau1[[#This Row],[Qté]]*(Tableau1[[#This Row],[PV]]-Tableau1[[#This Row],[PA]])</f>
        <v>1512</v>
      </c>
    </row>
    <row r="134" spans="1:9" x14ac:dyDescent="0.25">
      <c r="A134" s="3">
        <v>44728</v>
      </c>
      <c r="B134" s="4" t="s">
        <v>11</v>
      </c>
      <c r="C134" s="4" t="s">
        <v>27</v>
      </c>
      <c r="D134" s="4" t="s">
        <v>26</v>
      </c>
      <c r="E134" s="4">
        <v>24</v>
      </c>
      <c r="F134" s="4">
        <v>472</v>
      </c>
      <c r="G134" s="4">
        <f t="shared" si="2"/>
        <v>660</v>
      </c>
      <c r="H134" s="7">
        <f>Tableau1[[#This Row],[PV]]*Tableau1[[#This Row],[Qté]]</f>
        <v>15840</v>
      </c>
      <c r="I134" s="7">
        <f>Tableau1[[#This Row],[Qté]]*(Tableau1[[#This Row],[PV]]-Tableau1[[#This Row],[PA]])</f>
        <v>4512</v>
      </c>
    </row>
    <row r="135" spans="1:9" x14ac:dyDescent="0.25">
      <c r="A135" s="3">
        <v>44728</v>
      </c>
      <c r="B135" s="4" t="s">
        <v>8</v>
      </c>
      <c r="C135" s="4" t="s">
        <v>29</v>
      </c>
      <c r="D135" s="4" t="s">
        <v>28</v>
      </c>
      <c r="E135" s="4">
        <v>10</v>
      </c>
      <c r="F135" s="4">
        <v>206</v>
      </c>
      <c r="G135" s="4">
        <f t="shared" si="2"/>
        <v>288</v>
      </c>
      <c r="H135" s="7">
        <f>Tableau1[[#This Row],[PV]]*Tableau1[[#This Row],[Qté]]</f>
        <v>2880</v>
      </c>
      <c r="I135" s="7">
        <f>Tableau1[[#This Row],[Qté]]*(Tableau1[[#This Row],[PV]]-Tableau1[[#This Row],[PA]])</f>
        <v>820</v>
      </c>
    </row>
    <row r="136" spans="1:9" x14ac:dyDescent="0.25">
      <c r="A136" s="3">
        <v>44734</v>
      </c>
      <c r="B136" s="4" t="s">
        <v>12</v>
      </c>
      <c r="C136" s="4" t="s">
        <v>29</v>
      </c>
      <c r="D136" s="4" t="s">
        <v>32</v>
      </c>
      <c r="E136" s="4">
        <v>8</v>
      </c>
      <c r="F136" s="4">
        <v>213</v>
      </c>
      <c r="G136" s="4">
        <f t="shared" si="2"/>
        <v>298</v>
      </c>
      <c r="H136" s="7">
        <f>Tableau1[[#This Row],[PV]]*Tableau1[[#This Row],[Qté]]</f>
        <v>2384</v>
      </c>
      <c r="I136" s="7">
        <f>Tableau1[[#This Row],[Qté]]*(Tableau1[[#This Row],[PV]]-Tableau1[[#This Row],[PA]])</f>
        <v>680</v>
      </c>
    </row>
    <row r="137" spans="1:9" x14ac:dyDescent="0.25">
      <c r="A137" s="3">
        <v>44734</v>
      </c>
      <c r="B137" s="4" t="s">
        <v>9</v>
      </c>
      <c r="C137" s="4" t="s">
        <v>29</v>
      </c>
      <c r="D137" s="4" t="s">
        <v>28</v>
      </c>
      <c r="E137" s="4">
        <v>10</v>
      </c>
      <c r="F137" s="4">
        <v>278</v>
      </c>
      <c r="G137" s="4">
        <f t="shared" si="2"/>
        <v>389</v>
      </c>
      <c r="H137" s="7">
        <f>Tableau1[[#This Row],[PV]]*Tableau1[[#This Row],[Qté]]</f>
        <v>3890</v>
      </c>
      <c r="I137" s="7">
        <f>Tableau1[[#This Row],[Qté]]*(Tableau1[[#This Row],[PV]]-Tableau1[[#This Row],[PA]])</f>
        <v>1110</v>
      </c>
    </row>
    <row r="138" spans="1:9" x14ac:dyDescent="0.25">
      <c r="A138" s="3">
        <v>44740</v>
      </c>
      <c r="B138" s="4" t="s">
        <v>13</v>
      </c>
      <c r="C138" s="4" t="s">
        <v>29</v>
      </c>
      <c r="D138" s="4" t="s">
        <v>26</v>
      </c>
      <c r="E138" s="4">
        <v>21</v>
      </c>
      <c r="F138" s="4">
        <v>478</v>
      </c>
      <c r="G138" s="4">
        <f t="shared" si="2"/>
        <v>669</v>
      </c>
      <c r="H138" s="7">
        <f>Tableau1[[#This Row],[PV]]*Tableau1[[#This Row],[Qté]]</f>
        <v>14049</v>
      </c>
      <c r="I138" s="7">
        <f>Tableau1[[#This Row],[Qté]]*(Tableau1[[#This Row],[PV]]-Tableau1[[#This Row],[PA]])</f>
        <v>4011</v>
      </c>
    </row>
    <row r="139" spans="1:9" x14ac:dyDescent="0.25">
      <c r="A139" s="3">
        <v>44740</v>
      </c>
      <c r="B139" s="4" t="s">
        <v>10</v>
      </c>
      <c r="C139" s="4" t="s">
        <v>29</v>
      </c>
      <c r="D139" s="4" t="s">
        <v>28</v>
      </c>
      <c r="E139" s="4">
        <v>19</v>
      </c>
      <c r="F139" s="4">
        <v>255</v>
      </c>
      <c r="G139" s="4">
        <f t="shared" si="2"/>
        <v>357</v>
      </c>
      <c r="H139" s="7">
        <f>Tableau1[[#This Row],[PV]]*Tableau1[[#This Row],[Qté]]</f>
        <v>6783</v>
      </c>
      <c r="I139" s="7">
        <f>Tableau1[[#This Row],[Qté]]*(Tableau1[[#This Row],[PV]]-Tableau1[[#This Row],[PA]])</f>
        <v>1938</v>
      </c>
    </row>
    <row r="140" spans="1:9" x14ac:dyDescent="0.25">
      <c r="A140" s="3">
        <v>44746</v>
      </c>
      <c r="B140" s="4" t="s">
        <v>14</v>
      </c>
      <c r="C140" s="4" t="s">
        <v>29</v>
      </c>
      <c r="D140" s="4" t="s">
        <v>30</v>
      </c>
      <c r="E140" s="4">
        <v>13</v>
      </c>
      <c r="F140" s="4">
        <v>362</v>
      </c>
      <c r="G140" s="4">
        <f t="shared" si="2"/>
        <v>506</v>
      </c>
      <c r="H140" s="7">
        <f>Tableau1[[#This Row],[PV]]*Tableau1[[#This Row],[Qté]]</f>
        <v>6578</v>
      </c>
      <c r="I140" s="7">
        <f>Tableau1[[#This Row],[Qté]]*(Tableau1[[#This Row],[PV]]-Tableau1[[#This Row],[PA]])</f>
        <v>1872</v>
      </c>
    </row>
    <row r="141" spans="1:9" x14ac:dyDescent="0.25">
      <c r="A141" s="3">
        <v>44746</v>
      </c>
      <c r="B141" s="4" t="s">
        <v>11</v>
      </c>
      <c r="C141" s="4" t="s">
        <v>31</v>
      </c>
      <c r="D141" s="4" t="s">
        <v>26</v>
      </c>
      <c r="E141" s="4">
        <v>14</v>
      </c>
      <c r="F141" s="4">
        <v>472</v>
      </c>
      <c r="G141" s="4">
        <f t="shared" si="2"/>
        <v>660</v>
      </c>
      <c r="H141" s="7">
        <f>Tableau1[[#This Row],[PV]]*Tableau1[[#This Row],[Qté]]</f>
        <v>9240</v>
      </c>
      <c r="I141" s="7">
        <f>Tableau1[[#This Row],[Qté]]*(Tableau1[[#This Row],[PV]]-Tableau1[[#This Row],[PA]])</f>
        <v>2632</v>
      </c>
    </row>
    <row r="142" spans="1:9" x14ac:dyDescent="0.25">
      <c r="A142" s="3">
        <v>44752</v>
      </c>
      <c r="B142" s="4" t="s">
        <v>15</v>
      </c>
      <c r="C142" s="4" t="s">
        <v>25</v>
      </c>
      <c r="D142" s="4" t="s">
        <v>32</v>
      </c>
      <c r="E142" s="4">
        <v>5</v>
      </c>
      <c r="F142" s="4">
        <v>434</v>
      </c>
      <c r="G142" s="4">
        <f t="shared" si="2"/>
        <v>607</v>
      </c>
      <c r="H142" s="7">
        <f>Tableau1[[#This Row],[PV]]*Tableau1[[#This Row],[Qté]]</f>
        <v>3035</v>
      </c>
      <c r="I142" s="7">
        <f>Tableau1[[#This Row],[Qté]]*(Tableau1[[#This Row],[PV]]-Tableau1[[#This Row],[PA]])</f>
        <v>865</v>
      </c>
    </row>
    <row r="143" spans="1:9" x14ac:dyDescent="0.25">
      <c r="A143" s="3">
        <v>44752</v>
      </c>
      <c r="B143" s="4" t="s">
        <v>12</v>
      </c>
      <c r="C143" s="4" t="s">
        <v>29</v>
      </c>
      <c r="D143" s="4" t="s">
        <v>26</v>
      </c>
      <c r="E143" s="4">
        <v>8</v>
      </c>
      <c r="F143" s="4">
        <v>213</v>
      </c>
      <c r="G143" s="4">
        <f t="shared" si="2"/>
        <v>298</v>
      </c>
      <c r="H143" s="7">
        <f>Tableau1[[#This Row],[PV]]*Tableau1[[#This Row],[Qté]]</f>
        <v>2384</v>
      </c>
      <c r="I143" s="7">
        <f>Tableau1[[#This Row],[Qté]]*(Tableau1[[#This Row],[PV]]-Tableau1[[#This Row],[PA]])</f>
        <v>680</v>
      </c>
    </row>
    <row r="144" spans="1:9" x14ac:dyDescent="0.25">
      <c r="A144" s="3">
        <v>44758</v>
      </c>
      <c r="B144" s="4" t="s">
        <v>16</v>
      </c>
      <c r="C144" s="4" t="s">
        <v>29</v>
      </c>
      <c r="D144" s="4" t="s">
        <v>37</v>
      </c>
      <c r="E144" s="4">
        <v>7</v>
      </c>
      <c r="F144" s="4">
        <v>407</v>
      </c>
      <c r="G144" s="4">
        <f t="shared" si="2"/>
        <v>569</v>
      </c>
      <c r="H144" s="7">
        <f>Tableau1[[#This Row],[PV]]*Tableau1[[#This Row],[Qté]]</f>
        <v>3983</v>
      </c>
      <c r="I144" s="7">
        <f>Tableau1[[#This Row],[Qté]]*(Tableau1[[#This Row],[PV]]-Tableau1[[#This Row],[PA]])</f>
        <v>1134</v>
      </c>
    </row>
    <row r="145" spans="1:9" x14ac:dyDescent="0.25">
      <c r="A145" s="3">
        <v>44758</v>
      </c>
      <c r="B145" s="4" t="s">
        <v>13</v>
      </c>
      <c r="C145" s="4" t="s">
        <v>25</v>
      </c>
      <c r="D145" s="4" t="s">
        <v>32</v>
      </c>
      <c r="E145" s="4">
        <v>15</v>
      </c>
      <c r="F145" s="4">
        <v>478</v>
      </c>
      <c r="G145" s="4">
        <f t="shared" si="2"/>
        <v>669</v>
      </c>
      <c r="H145" s="7">
        <f>Tableau1[[#This Row],[PV]]*Tableau1[[#This Row],[Qté]]</f>
        <v>10035</v>
      </c>
      <c r="I145" s="7">
        <f>Tableau1[[#This Row],[Qté]]*(Tableau1[[#This Row],[PV]]-Tableau1[[#This Row],[PA]])</f>
        <v>2865</v>
      </c>
    </row>
    <row r="146" spans="1:9" x14ac:dyDescent="0.25">
      <c r="A146" s="3">
        <v>44764</v>
      </c>
      <c r="B146" s="4" t="s">
        <v>17</v>
      </c>
      <c r="C146" s="4" t="s">
        <v>31</v>
      </c>
      <c r="D146" s="4" t="s">
        <v>26</v>
      </c>
      <c r="E146" s="4">
        <v>25</v>
      </c>
      <c r="F146" s="4">
        <v>265</v>
      </c>
      <c r="G146" s="4">
        <f t="shared" si="2"/>
        <v>371</v>
      </c>
      <c r="H146" s="7">
        <f>Tableau1[[#This Row],[PV]]*Tableau1[[#This Row],[Qté]]</f>
        <v>9275</v>
      </c>
      <c r="I146" s="7">
        <f>Tableau1[[#This Row],[Qté]]*(Tableau1[[#This Row],[PV]]-Tableau1[[#This Row],[PA]])</f>
        <v>2650</v>
      </c>
    </row>
    <row r="147" spans="1:9" x14ac:dyDescent="0.25">
      <c r="A147" s="3">
        <v>44764</v>
      </c>
      <c r="B147" s="4" t="s">
        <v>14</v>
      </c>
      <c r="C147" s="4" t="s">
        <v>29</v>
      </c>
      <c r="D147" s="4" t="s">
        <v>37</v>
      </c>
      <c r="E147" s="4">
        <v>23</v>
      </c>
      <c r="F147" s="4">
        <v>362</v>
      </c>
      <c r="G147" s="4">
        <f t="shared" si="2"/>
        <v>506</v>
      </c>
      <c r="H147" s="7">
        <f>Tableau1[[#This Row],[PV]]*Tableau1[[#This Row],[Qté]]</f>
        <v>11638</v>
      </c>
      <c r="I147" s="7">
        <f>Tableau1[[#This Row],[Qté]]*(Tableau1[[#This Row],[PV]]-Tableau1[[#This Row],[PA]])</f>
        <v>3312</v>
      </c>
    </row>
    <row r="148" spans="1:9" x14ac:dyDescent="0.25">
      <c r="A148" s="3">
        <v>44770</v>
      </c>
      <c r="B148" s="4" t="s">
        <v>18</v>
      </c>
      <c r="C148" s="4" t="s">
        <v>27</v>
      </c>
      <c r="D148" s="4" t="s">
        <v>26</v>
      </c>
      <c r="E148" s="4">
        <v>23</v>
      </c>
      <c r="F148" s="4">
        <v>427</v>
      </c>
      <c r="G148" s="4">
        <f t="shared" si="2"/>
        <v>597</v>
      </c>
      <c r="H148" s="7">
        <f>Tableau1[[#This Row],[PV]]*Tableau1[[#This Row],[Qté]]</f>
        <v>13731</v>
      </c>
      <c r="I148" s="7">
        <f>Tableau1[[#This Row],[Qté]]*(Tableau1[[#This Row],[PV]]-Tableau1[[#This Row],[PA]])</f>
        <v>3910</v>
      </c>
    </row>
    <row r="149" spans="1:9" x14ac:dyDescent="0.25">
      <c r="A149" s="3">
        <v>44770</v>
      </c>
      <c r="B149" s="4" t="s">
        <v>15</v>
      </c>
      <c r="C149" s="4" t="s">
        <v>31</v>
      </c>
      <c r="D149" s="4" t="s">
        <v>37</v>
      </c>
      <c r="E149" s="4">
        <v>19</v>
      </c>
      <c r="F149" s="4">
        <v>434</v>
      </c>
      <c r="G149" s="4">
        <f t="shared" si="2"/>
        <v>607</v>
      </c>
      <c r="H149" s="7">
        <f>Tableau1[[#This Row],[PV]]*Tableau1[[#This Row],[Qté]]</f>
        <v>11533</v>
      </c>
      <c r="I149" s="7">
        <f>Tableau1[[#This Row],[Qté]]*(Tableau1[[#This Row],[PV]]-Tableau1[[#This Row],[PA]])</f>
        <v>3287</v>
      </c>
    </row>
    <row r="150" spans="1:9" x14ac:dyDescent="0.25">
      <c r="A150" s="3">
        <v>44776</v>
      </c>
      <c r="B150" s="4" t="s">
        <v>19</v>
      </c>
      <c r="C150" s="4" t="s">
        <v>31</v>
      </c>
      <c r="D150" s="4" t="s">
        <v>37</v>
      </c>
      <c r="E150" s="4">
        <v>11</v>
      </c>
      <c r="F150" s="4">
        <v>224</v>
      </c>
      <c r="G150" s="4">
        <f t="shared" si="2"/>
        <v>313</v>
      </c>
      <c r="H150" s="7">
        <f>Tableau1[[#This Row],[PV]]*Tableau1[[#This Row],[Qté]]</f>
        <v>3443</v>
      </c>
      <c r="I150" s="7">
        <f>Tableau1[[#This Row],[Qté]]*(Tableau1[[#This Row],[PV]]-Tableau1[[#This Row],[PA]])</f>
        <v>979</v>
      </c>
    </row>
    <row r="151" spans="1:9" x14ac:dyDescent="0.25">
      <c r="A151" s="3">
        <v>44776</v>
      </c>
      <c r="B151" s="4" t="s">
        <v>16</v>
      </c>
      <c r="C151" s="4" t="s">
        <v>27</v>
      </c>
      <c r="D151" s="4" t="s">
        <v>28</v>
      </c>
      <c r="E151" s="4">
        <v>23</v>
      </c>
      <c r="F151" s="4">
        <v>407</v>
      </c>
      <c r="G151" s="4">
        <f t="shared" si="2"/>
        <v>569</v>
      </c>
      <c r="H151" s="7">
        <f>Tableau1[[#This Row],[PV]]*Tableau1[[#This Row],[Qté]]</f>
        <v>13087</v>
      </c>
      <c r="I151" s="7">
        <f>Tableau1[[#This Row],[Qté]]*(Tableau1[[#This Row],[PV]]-Tableau1[[#This Row],[PA]])</f>
        <v>3726</v>
      </c>
    </row>
    <row r="152" spans="1:9" x14ac:dyDescent="0.25">
      <c r="A152" s="3">
        <v>44782</v>
      </c>
      <c r="B152" s="4" t="s">
        <v>20</v>
      </c>
      <c r="C152" s="4" t="s">
        <v>29</v>
      </c>
      <c r="D152" s="4" t="s">
        <v>37</v>
      </c>
      <c r="E152" s="4">
        <v>20</v>
      </c>
      <c r="F152" s="4">
        <v>270</v>
      </c>
      <c r="G152" s="4">
        <f t="shared" si="2"/>
        <v>378</v>
      </c>
      <c r="H152" s="7">
        <f>Tableau1[[#This Row],[PV]]*Tableau1[[#This Row],[Qté]]</f>
        <v>7560</v>
      </c>
      <c r="I152" s="7">
        <f>Tableau1[[#This Row],[Qté]]*(Tableau1[[#This Row],[PV]]-Tableau1[[#This Row],[PA]])</f>
        <v>2160</v>
      </c>
    </row>
    <row r="153" spans="1:9" x14ac:dyDescent="0.25">
      <c r="A153" s="3">
        <v>44782</v>
      </c>
      <c r="B153" s="4" t="s">
        <v>17</v>
      </c>
      <c r="C153" s="4" t="s">
        <v>27</v>
      </c>
      <c r="D153" s="4" t="s">
        <v>28</v>
      </c>
      <c r="E153" s="4">
        <v>23</v>
      </c>
      <c r="F153" s="4">
        <v>265</v>
      </c>
      <c r="G153" s="4">
        <f t="shared" si="2"/>
        <v>371</v>
      </c>
      <c r="H153" s="7">
        <f>Tableau1[[#This Row],[PV]]*Tableau1[[#This Row],[Qté]]</f>
        <v>8533</v>
      </c>
      <c r="I153" s="7">
        <f>Tableau1[[#This Row],[Qté]]*(Tableau1[[#This Row],[PV]]-Tableau1[[#This Row],[PA]])</f>
        <v>2438</v>
      </c>
    </row>
    <row r="154" spans="1:9" x14ac:dyDescent="0.25">
      <c r="A154" s="3">
        <v>44788</v>
      </c>
      <c r="B154" s="4" t="s">
        <v>21</v>
      </c>
      <c r="C154" s="4" t="s">
        <v>31</v>
      </c>
      <c r="D154" s="4" t="s">
        <v>30</v>
      </c>
      <c r="E154" s="4">
        <v>15</v>
      </c>
      <c r="F154" s="4">
        <v>385</v>
      </c>
      <c r="G154" s="4">
        <f t="shared" si="2"/>
        <v>539</v>
      </c>
      <c r="H154" s="7">
        <f>Tableau1[[#This Row],[PV]]*Tableau1[[#This Row],[Qté]]</f>
        <v>8085</v>
      </c>
      <c r="I154" s="7">
        <f>Tableau1[[#This Row],[Qté]]*(Tableau1[[#This Row],[PV]]-Tableau1[[#This Row],[PA]])</f>
        <v>2310</v>
      </c>
    </row>
    <row r="155" spans="1:9" x14ac:dyDescent="0.25">
      <c r="A155" s="3">
        <v>44788</v>
      </c>
      <c r="B155" s="4" t="s">
        <v>18</v>
      </c>
      <c r="C155" s="4" t="s">
        <v>27</v>
      </c>
      <c r="D155" s="4" t="s">
        <v>26</v>
      </c>
      <c r="E155" s="4">
        <v>8</v>
      </c>
      <c r="F155" s="4">
        <v>427</v>
      </c>
      <c r="G155" s="4">
        <f t="shared" si="2"/>
        <v>597</v>
      </c>
      <c r="H155" s="7">
        <f>Tableau1[[#This Row],[PV]]*Tableau1[[#This Row],[Qté]]</f>
        <v>4776</v>
      </c>
      <c r="I155" s="7">
        <f>Tableau1[[#This Row],[Qté]]*(Tableau1[[#This Row],[PV]]-Tableau1[[#This Row],[PA]])</f>
        <v>1360</v>
      </c>
    </row>
    <row r="156" spans="1:9" x14ac:dyDescent="0.25">
      <c r="A156" s="3">
        <v>44794</v>
      </c>
      <c r="B156" s="4" t="s">
        <v>22</v>
      </c>
      <c r="C156" s="4" t="s">
        <v>27</v>
      </c>
      <c r="D156" s="4" t="s">
        <v>37</v>
      </c>
      <c r="E156" s="4">
        <v>10</v>
      </c>
      <c r="F156" s="4">
        <v>105</v>
      </c>
      <c r="G156" s="4">
        <f t="shared" si="2"/>
        <v>147</v>
      </c>
      <c r="H156" s="7">
        <f>Tableau1[[#This Row],[PV]]*Tableau1[[#This Row],[Qté]]</f>
        <v>1470</v>
      </c>
      <c r="I156" s="7">
        <f>Tableau1[[#This Row],[Qté]]*(Tableau1[[#This Row],[PV]]-Tableau1[[#This Row],[PA]])</f>
        <v>420</v>
      </c>
    </row>
    <row r="157" spans="1:9" x14ac:dyDescent="0.25">
      <c r="A157" s="3">
        <v>44794</v>
      </c>
      <c r="B157" s="4" t="s">
        <v>19</v>
      </c>
      <c r="C157" s="4" t="s">
        <v>31</v>
      </c>
      <c r="D157" s="4" t="s">
        <v>32</v>
      </c>
      <c r="E157" s="4">
        <v>21</v>
      </c>
      <c r="F157" s="4">
        <v>224</v>
      </c>
      <c r="G157" s="4">
        <f t="shared" si="2"/>
        <v>313</v>
      </c>
      <c r="H157" s="7">
        <f>Tableau1[[#This Row],[PV]]*Tableau1[[#This Row],[Qté]]</f>
        <v>6573</v>
      </c>
      <c r="I157" s="7">
        <f>Tableau1[[#This Row],[Qté]]*(Tableau1[[#This Row],[PV]]-Tableau1[[#This Row],[PA]])</f>
        <v>1869</v>
      </c>
    </row>
    <row r="158" spans="1:9" x14ac:dyDescent="0.25">
      <c r="A158" s="3">
        <v>44794</v>
      </c>
      <c r="B158" s="4" t="s">
        <v>22</v>
      </c>
      <c r="C158" s="4" t="s">
        <v>25</v>
      </c>
      <c r="D158" s="4" t="s">
        <v>28</v>
      </c>
      <c r="E158" s="4">
        <v>19</v>
      </c>
      <c r="F158" s="4">
        <v>105</v>
      </c>
      <c r="G158" s="4">
        <f t="shared" si="2"/>
        <v>147</v>
      </c>
      <c r="H158" s="7">
        <f>Tableau1[[#This Row],[PV]]*Tableau1[[#This Row],[Qté]]</f>
        <v>2793</v>
      </c>
      <c r="I158" s="7">
        <f>Tableau1[[#This Row],[Qté]]*(Tableau1[[#This Row],[PV]]-Tableau1[[#This Row],[PA]])</f>
        <v>798</v>
      </c>
    </row>
    <row r="159" spans="1:9" x14ac:dyDescent="0.25">
      <c r="A159" s="3">
        <v>44800</v>
      </c>
      <c r="B159" s="4" t="s">
        <v>23</v>
      </c>
      <c r="C159" s="4" t="s">
        <v>29</v>
      </c>
      <c r="D159" s="4" t="s">
        <v>28</v>
      </c>
      <c r="E159" s="4">
        <v>13</v>
      </c>
      <c r="F159" s="4">
        <v>382</v>
      </c>
      <c r="G159" s="4">
        <f t="shared" si="2"/>
        <v>534</v>
      </c>
      <c r="H159" s="7">
        <f>Tableau1[[#This Row],[PV]]*Tableau1[[#This Row],[Qté]]</f>
        <v>6942</v>
      </c>
      <c r="I159" s="7">
        <f>Tableau1[[#This Row],[Qté]]*(Tableau1[[#This Row],[PV]]-Tableau1[[#This Row],[PA]])</f>
        <v>1976</v>
      </c>
    </row>
    <row r="160" spans="1:9" x14ac:dyDescent="0.25">
      <c r="A160" s="3">
        <v>44800</v>
      </c>
      <c r="B160" s="4" t="s">
        <v>20</v>
      </c>
      <c r="C160" s="4" t="s">
        <v>25</v>
      </c>
      <c r="D160" s="4" t="s">
        <v>37</v>
      </c>
      <c r="E160" s="4">
        <v>14</v>
      </c>
      <c r="F160" s="4">
        <v>270</v>
      </c>
      <c r="G160" s="4">
        <f t="shared" si="2"/>
        <v>378</v>
      </c>
      <c r="H160" s="7">
        <f>Tableau1[[#This Row],[PV]]*Tableau1[[#This Row],[Qté]]</f>
        <v>5292</v>
      </c>
      <c r="I160" s="7">
        <f>Tableau1[[#This Row],[Qté]]*(Tableau1[[#This Row],[PV]]-Tableau1[[#This Row],[PA]])</f>
        <v>1512</v>
      </c>
    </row>
    <row r="161" spans="1:9" x14ac:dyDescent="0.25">
      <c r="A161" s="3">
        <v>44800</v>
      </c>
      <c r="B161" s="4" t="s">
        <v>23</v>
      </c>
      <c r="C161" s="4" t="s">
        <v>25</v>
      </c>
      <c r="D161" s="4" t="s">
        <v>26</v>
      </c>
      <c r="E161" s="4">
        <v>5</v>
      </c>
      <c r="F161" s="4">
        <v>382</v>
      </c>
      <c r="G161" s="4">
        <f t="shared" si="2"/>
        <v>534</v>
      </c>
      <c r="H161" s="7">
        <f>Tableau1[[#This Row],[PV]]*Tableau1[[#This Row],[Qté]]</f>
        <v>2670</v>
      </c>
      <c r="I161" s="7">
        <f>Tableau1[[#This Row],[Qté]]*(Tableau1[[#This Row],[PV]]-Tableau1[[#This Row],[PA]])</f>
        <v>760</v>
      </c>
    </row>
    <row r="162" spans="1:9" x14ac:dyDescent="0.25">
      <c r="A162" s="3">
        <v>44806</v>
      </c>
      <c r="B162" s="4" t="s">
        <v>24</v>
      </c>
      <c r="C162" s="4" t="s">
        <v>25</v>
      </c>
      <c r="D162" s="4" t="s">
        <v>28</v>
      </c>
      <c r="E162" s="4">
        <v>8</v>
      </c>
      <c r="F162" s="4">
        <v>300</v>
      </c>
      <c r="G162" s="4">
        <f t="shared" si="2"/>
        <v>420</v>
      </c>
      <c r="H162" s="7">
        <f>Tableau1[[#This Row],[PV]]*Tableau1[[#This Row],[Qté]]</f>
        <v>3360</v>
      </c>
      <c r="I162" s="7">
        <f>Tableau1[[#This Row],[Qté]]*(Tableau1[[#This Row],[PV]]-Tableau1[[#This Row],[PA]])</f>
        <v>960</v>
      </c>
    </row>
    <row r="163" spans="1:9" x14ac:dyDescent="0.25">
      <c r="A163" s="3">
        <v>44806</v>
      </c>
      <c r="B163" s="4" t="s">
        <v>21</v>
      </c>
      <c r="C163" s="4" t="s">
        <v>27</v>
      </c>
      <c r="D163" s="4" t="s">
        <v>30</v>
      </c>
      <c r="E163" s="4">
        <v>20</v>
      </c>
      <c r="F163" s="4">
        <v>385</v>
      </c>
      <c r="G163" s="4">
        <f t="shared" si="2"/>
        <v>539</v>
      </c>
      <c r="H163" s="7">
        <f>Tableau1[[#This Row],[PV]]*Tableau1[[#This Row],[Qté]]</f>
        <v>10780</v>
      </c>
      <c r="I163" s="7">
        <f>Tableau1[[#This Row],[Qté]]*(Tableau1[[#This Row],[PV]]-Tableau1[[#This Row],[PA]])</f>
        <v>3080</v>
      </c>
    </row>
    <row r="164" spans="1:9" x14ac:dyDescent="0.25">
      <c r="A164" s="5">
        <v>44806</v>
      </c>
      <c r="B164" s="6" t="s">
        <v>24</v>
      </c>
      <c r="C164" s="6" t="s">
        <v>31</v>
      </c>
      <c r="D164" s="6" t="s">
        <v>28</v>
      </c>
      <c r="E164" s="6">
        <v>11</v>
      </c>
      <c r="F164" s="6">
        <v>300</v>
      </c>
      <c r="G164" s="6">
        <f t="shared" si="2"/>
        <v>420</v>
      </c>
      <c r="H164" s="7">
        <f>Tableau1[[#This Row],[PV]]*Tableau1[[#This Row],[Qté]]</f>
        <v>4620</v>
      </c>
      <c r="I164" s="7">
        <f>Tableau1[[#This Row],[Qté]]*(Tableau1[[#This Row],[PV]]-Tableau1[[#This Row],[PA]])</f>
        <v>1320</v>
      </c>
    </row>
  </sheetData>
  <sortState xmlns:xlrd2="http://schemas.microsoft.com/office/spreadsheetml/2017/richdata2" ref="A2:G164">
    <sortCondition ref="A2:A16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1EEA-700F-442B-B5E9-9CFEA21F4924}">
  <dimension ref="A1:G57"/>
  <sheetViews>
    <sheetView workbookViewId="0">
      <selection activeCell="C19" sqref="A1:G57"/>
    </sheetView>
  </sheetViews>
  <sheetFormatPr baseColWidth="10" defaultRowHeight="15" x14ac:dyDescent="0.25"/>
  <cols>
    <col min="2" max="2" width="4.140625" bestFit="1" customWidth="1"/>
  </cols>
  <sheetData>
    <row r="1" spans="1:7" x14ac:dyDescent="0.25">
      <c r="A1" s="3">
        <v>44836</v>
      </c>
      <c r="B1" s="4" t="s">
        <v>5</v>
      </c>
      <c r="C1" s="4" t="s">
        <v>29</v>
      </c>
      <c r="D1" s="4" t="s">
        <v>28</v>
      </c>
      <c r="E1" s="4">
        <v>12</v>
      </c>
      <c r="F1" s="4">
        <v>360</v>
      </c>
      <c r="G1" s="4">
        <v>315</v>
      </c>
    </row>
    <row r="2" spans="1:7" x14ac:dyDescent="0.25">
      <c r="A2" s="3">
        <v>44849</v>
      </c>
      <c r="B2" s="4" t="s">
        <v>6</v>
      </c>
      <c r="C2" s="4" t="s">
        <v>27</v>
      </c>
      <c r="D2" s="4" t="s">
        <v>26</v>
      </c>
      <c r="E2" s="4">
        <v>12</v>
      </c>
      <c r="F2" s="4">
        <v>228</v>
      </c>
      <c r="G2" s="4">
        <v>392</v>
      </c>
    </row>
    <row r="3" spans="1:7" x14ac:dyDescent="0.25">
      <c r="A3" s="3">
        <v>44857</v>
      </c>
      <c r="B3" s="4" t="s">
        <v>7</v>
      </c>
      <c r="C3" s="4" t="s">
        <v>31</v>
      </c>
      <c r="D3" s="4" t="s">
        <v>37</v>
      </c>
      <c r="E3" s="4">
        <v>19</v>
      </c>
      <c r="F3" s="4">
        <v>474</v>
      </c>
      <c r="G3" s="4">
        <v>417</v>
      </c>
    </row>
    <row r="4" spans="1:7" x14ac:dyDescent="0.25">
      <c r="A4" s="3">
        <v>44863</v>
      </c>
      <c r="B4" s="4" t="s">
        <v>8</v>
      </c>
      <c r="C4" s="4" t="s">
        <v>27</v>
      </c>
      <c r="D4" s="4" t="s">
        <v>28</v>
      </c>
      <c r="E4" s="4">
        <v>11</v>
      </c>
      <c r="F4" s="4">
        <v>206</v>
      </c>
      <c r="G4" s="4">
        <v>631</v>
      </c>
    </row>
    <row r="5" spans="1:7" x14ac:dyDescent="0.25">
      <c r="A5" s="3">
        <v>44869</v>
      </c>
      <c r="B5" s="4" t="s">
        <v>9</v>
      </c>
      <c r="C5" s="4" t="s">
        <v>27</v>
      </c>
      <c r="D5" s="4" t="s">
        <v>32</v>
      </c>
      <c r="E5" s="4">
        <v>7</v>
      </c>
      <c r="F5" s="4">
        <v>278</v>
      </c>
      <c r="G5" s="4">
        <v>420</v>
      </c>
    </row>
    <row r="6" spans="1:7" x14ac:dyDescent="0.25">
      <c r="A6" s="3">
        <v>44875</v>
      </c>
      <c r="B6" s="4" t="s">
        <v>10</v>
      </c>
      <c r="C6" s="4" t="s">
        <v>27</v>
      </c>
      <c r="D6" s="4" t="s">
        <v>26</v>
      </c>
      <c r="E6" s="4">
        <v>9</v>
      </c>
      <c r="F6" s="4">
        <v>255</v>
      </c>
      <c r="G6" s="4">
        <v>589</v>
      </c>
    </row>
    <row r="7" spans="1:7" x14ac:dyDescent="0.25">
      <c r="A7" s="3">
        <v>44881</v>
      </c>
      <c r="B7" s="4" t="s">
        <v>11</v>
      </c>
      <c r="C7" s="4" t="s">
        <v>25</v>
      </c>
      <c r="D7" s="4" t="s">
        <v>28</v>
      </c>
      <c r="E7" s="4">
        <v>24</v>
      </c>
      <c r="F7" s="4">
        <v>472</v>
      </c>
      <c r="G7" s="4">
        <v>490</v>
      </c>
    </row>
    <row r="8" spans="1:7" x14ac:dyDescent="0.25">
      <c r="A8" s="3">
        <v>44887</v>
      </c>
      <c r="B8" s="4" t="s">
        <v>12</v>
      </c>
      <c r="C8" s="4" t="s">
        <v>29</v>
      </c>
      <c r="D8" s="4" t="s">
        <v>32</v>
      </c>
      <c r="E8" s="4">
        <v>22</v>
      </c>
      <c r="F8" s="4">
        <v>213</v>
      </c>
      <c r="G8" s="4">
        <v>561</v>
      </c>
    </row>
    <row r="9" spans="1:7" x14ac:dyDescent="0.25">
      <c r="A9" s="3">
        <v>44893</v>
      </c>
      <c r="B9" s="4" t="s">
        <v>13</v>
      </c>
      <c r="C9" s="4" t="s">
        <v>25</v>
      </c>
      <c r="D9" s="4" t="s">
        <v>37</v>
      </c>
      <c r="E9" s="4">
        <v>22</v>
      </c>
      <c r="F9" s="4">
        <v>478</v>
      </c>
      <c r="G9" s="4">
        <v>637</v>
      </c>
    </row>
    <row r="10" spans="1:7" x14ac:dyDescent="0.25">
      <c r="A10" s="3">
        <v>44899</v>
      </c>
      <c r="B10" s="4" t="s">
        <v>14</v>
      </c>
      <c r="C10" s="4" t="s">
        <v>31</v>
      </c>
      <c r="D10" s="4" t="s">
        <v>32</v>
      </c>
      <c r="E10" s="4">
        <v>21</v>
      </c>
      <c r="F10" s="4">
        <v>362</v>
      </c>
      <c r="G10" s="4">
        <v>392</v>
      </c>
    </row>
    <row r="11" spans="1:7" x14ac:dyDescent="0.25">
      <c r="A11" s="3">
        <v>44905</v>
      </c>
      <c r="B11" s="4" t="s">
        <v>15</v>
      </c>
      <c r="C11" s="4" t="s">
        <v>25</v>
      </c>
      <c r="D11" s="4" t="s">
        <v>30</v>
      </c>
      <c r="E11" s="4">
        <v>11</v>
      </c>
      <c r="F11" s="4">
        <v>434</v>
      </c>
      <c r="G11" s="4">
        <v>669</v>
      </c>
    </row>
    <row r="12" spans="1:7" x14ac:dyDescent="0.25">
      <c r="A12" s="3">
        <v>44911</v>
      </c>
      <c r="B12" s="4" t="s">
        <v>16</v>
      </c>
      <c r="C12" s="4" t="s">
        <v>25</v>
      </c>
      <c r="D12" s="4" t="s">
        <v>37</v>
      </c>
      <c r="E12" s="4">
        <v>7</v>
      </c>
      <c r="F12" s="4">
        <v>407</v>
      </c>
      <c r="G12" s="4">
        <v>401</v>
      </c>
    </row>
    <row r="13" spans="1:7" x14ac:dyDescent="0.25">
      <c r="A13" s="3">
        <v>44917</v>
      </c>
      <c r="B13" s="4" t="s">
        <v>17</v>
      </c>
      <c r="C13" s="4" t="s">
        <v>29</v>
      </c>
      <c r="D13" s="4" t="s">
        <v>37</v>
      </c>
      <c r="E13" s="4">
        <v>9</v>
      </c>
      <c r="F13" s="4">
        <v>265</v>
      </c>
      <c r="G13" s="4">
        <v>490</v>
      </c>
    </row>
    <row r="14" spans="1:7" x14ac:dyDescent="0.25">
      <c r="A14" s="3">
        <v>44923</v>
      </c>
      <c r="B14" s="4" t="s">
        <v>18</v>
      </c>
      <c r="C14" s="4" t="s">
        <v>29</v>
      </c>
      <c r="D14" s="4" t="s">
        <v>37</v>
      </c>
      <c r="E14" s="4">
        <v>12</v>
      </c>
      <c r="F14" s="4">
        <v>427</v>
      </c>
      <c r="G14" s="4">
        <v>175</v>
      </c>
    </row>
    <row r="15" spans="1:7" x14ac:dyDescent="0.25">
      <c r="A15" s="3">
        <v>44837</v>
      </c>
      <c r="B15" s="4" t="s">
        <v>19</v>
      </c>
      <c r="C15" s="4" t="s">
        <v>29</v>
      </c>
      <c r="D15" s="4" t="s">
        <v>30</v>
      </c>
      <c r="E15" s="4">
        <v>9</v>
      </c>
      <c r="F15" s="4">
        <v>224</v>
      </c>
      <c r="G15" s="4">
        <v>205</v>
      </c>
    </row>
    <row r="16" spans="1:7" x14ac:dyDescent="0.25">
      <c r="A16" s="3">
        <v>44843</v>
      </c>
      <c r="B16" s="4" t="s">
        <v>20</v>
      </c>
      <c r="C16" s="4" t="s">
        <v>29</v>
      </c>
      <c r="D16" s="4" t="s">
        <v>32</v>
      </c>
      <c r="E16" s="4">
        <v>9</v>
      </c>
      <c r="F16" s="4">
        <v>270</v>
      </c>
      <c r="G16" s="4">
        <v>546</v>
      </c>
    </row>
    <row r="17" spans="1:7" x14ac:dyDescent="0.25">
      <c r="A17" s="3">
        <v>44849</v>
      </c>
      <c r="B17" s="4" t="s">
        <v>21</v>
      </c>
      <c r="C17" s="4" t="s">
        <v>25</v>
      </c>
      <c r="D17" s="4" t="s">
        <v>28</v>
      </c>
      <c r="E17" s="4">
        <v>13</v>
      </c>
      <c r="F17" s="4">
        <v>385</v>
      </c>
      <c r="G17" s="4">
        <v>498</v>
      </c>
    </row>
    <row r="18" spans="1:7" x14ac:dyDescent="0.25">
      <c r="A18" s="3">
        <v>44855</v>
      </c>
      <c r="B18" s="4" t="s">
        <v>22</v>
      </c>
      <c r="C18" s="4" t="s">
        <v>27</v>
      </c>
      <c r="D18" s="4" t="s">
        <v>28</v>
      </c>
      <c r="E18" s="4">
        <v>17</v>
      </c>
      <c r="F18" s="4">
        <v>105</v>
      </c>
      <c r="G18" s="4">
        <v>504</v>
      </c>
    </row>
    <row r="19" spans="1:7" x14ac:dyDescent="0.25">
      <c r="A19" s="3">
        <v>44861</v>
      </c>
      <c r="B19" s="4" t="s">
        <v>23</v>
      </c>
      <c r="C19" s="4" t="s">
        <v>31</v>
      </c>
      <c r="D19" s="4" t="s">
        <v>26</v>
      </c>
      <c r="E19" s="4">
        <v>23</v>
      </c>
      <c r="F19" s="4">
        <v>382</v>
      </c>
      <c r="G19" s="4">
        <v>319</v>
      </c>
    </row>
    <row r="20" spans="1:7" x14ac:dyDescent="0.25">
      <c r="A20" s="3">
        <v>44836</v>
      </c>
      <c r="B20" s="4" t="s">
        <v>5</v>
      </c>
      <c r="C20" s="4" t="s">
        <v>29</v>
      </c>
      <c r="D20" s="4" t="s">
        <v>26</v>
      </c>
      <c r="E20" s="4">
        <v>12</v>
      </c>
      <c r="F20" s="4">
        <v>360</v>
      </c>
      <c r="G20" s="4">
        <v>663</v>
      </c>
    </row>
    <row r="21" spans="1:7" x14ac:dyDescent="0.25">
      <c r="A21" s="3">
        <v>44849</v>
      </c>
      <c r="B21" s="4" t="s">
        <v>6</v>
      </c>
      <c r="C21" s="4" t="s">
        <v>25</v>
      </c>
      <c r="D21" s="4" t="s">
        <v>32</v>
      </c>
      <c r="E21" s="4">
        <v>12</v>
      </c>
      <c r="F21" s="4">
        <v>228</v>
      </c>
      <c r="G21" s="4">
        <f>INT(F21*1.5)</f>
        <v>342</v>
      </c>
    </row>
    <row r="22" spans="1:7" x14ac:dyDescent="0.25">
      <c r="A22" s="3">
        <v>44857</v>
      </c>
      <c r="B22" s="4" t="s">
        <v>7</v>
      </c>
      <c r="C22" s="4" t="s">
        <v>29</v>
      </c>
      <c r="D22" s="4" t="s">
        <v>37</v>
      </c>
      <c r="E22" s="4">
        <v>19</v>
      </c>
      <c r="F22" s="4">
        <v>474</v>
      </c>
      <c r="G22" s="4">
        <f t="shared" ref="G22:G57" si="0">INT(F22*1.5)</f>
        <v>711</v>
      </c>
    </row>
    <row r="23" spans="1:7" x14ac:dyDescent="0.25">
      <c r="A23" s="3">
        <v>44863</v>
      </c>
      <c r="B23" s="4" t="s">
        <v>8</v>
      </c>
      <c r="C23" s="4" t="s">
        <v>25</v>
      </c>
      <c r="D23" s="4" t="s">
        <v>26</v>
      </c>
      <c r="E23" s="4">
        <v>11</v>
      </c>
      <c r="F23" s="4">
        <v>362</v>
      </c>
      <c r="G23" s="4">
        <f t="shared" si="0"/>
        <v>543</v>
      </c>
    </row>
    <row r="24" spans="1:7" x14ac:dyDescent="0.25">
      <c r="A24" s="3">
        <v>44869</v>
      </c>
      <c r="B24" s="4" t="s">
        <v>9</v>
      </c>
      <c r="C24" s="4" t="s">
        <v>31</v>
      </c>
      <c r="D24" s="4" t="s">
        <v>30</v>
      </c>
      <c r="E24" s="4">
        <v>7</v>
      </c>
      <c r="F24" s="4">
        <v>434</v>
      </c>
      <c r="G24" s="4">
        <f t="shared" si="0"/>
        <v>651</v>
      </c>
    </row>
    <row r="25" spans="1:7" x14ac:dyDescent="0.25">
      <c r="A25" s="3">
        <v>44875</v>
      </c>
      <c r="B25" s="4" t="s">
        <v>10</v>
      </c>
      <c r="C25" s="4" t="s">
        <v>27</v>
      </c>
      <c r="D25" s="4" t="s">
        <v>30</v>
      </c>
      <c r="E25" s="4">
        <v>9</v>
      </c>
      <c r="F25" s="4">
        <v>407</v>
      </c>
      <c r="G25" s="4">
        <f t="shared" si="0"/>
        <v>610</v>
      </c>
    </row>
    <row r="26" spans="1:7" x14ac:dyDescent="0.25">
      <c r="A26" s="3">
        <v>44881</v>
      </c>
      <c r="B26" s="4" t="s">
        <v>11</v>
      </c>
      <c r="C26" s="4" t="s">
        <v>31</v>
      </c>
      <c r="D26" s="4" t="s">
        <v>26</v>
      </c>
      <c r="E26" s="4">
        <v>24</v>
      </c>
      <c r="F26" s="4">
        <v>265</v>
      </c>
      <c r="G26" s="4">
        <f t="shared" si="0"/>
        <v>397</v>
      </c>
    </row>
    <row r="27" spans="1:7" x14ac:dyDescent="0.25">
      <c r="A27" s="3">
        <v>44887</v>
      </c>
      <c r="B27" s="4" t="s">
        <v>12</v>
      </c>
      <c r="C27" s="4" t="s">
        <v>27</v>
      </c>
      <c r="D27" s="4" t="s">
        <v>26</v>
      </c>
      <c r="E27" s="4">
        <v>22</v>
      </c>
      <c r="F27" s="4">
        <v>427</v>
      </c>
      <c r="G27" s="4">
        <f t="shared" si="0"/>
        <v>640</v>
      </c>
    </row>
    <row r="28" spans="1:7" x14ac:dyDescent="0.25">
      <c r="A28" s="3">
        <v>44893</v>
      </c>
      <c r="B28" s="4" t="s">
        <v>13</v>
      </c>
      <c r="C28" s="4" t="s">
        <v>27</v>
      </c>
      <c r="D28" s="4" t="s">
        <v>37</v>
      </c>
      <c r="E28" s="4">
        <v>22</v>
      </c>
      <c r="F28" s="4">
        <v>224</v>
      </c>
      <c r="G28" s="4">
        <f t="shared" si="0"/>
        <v>336</v>
      </c>
    </row>
    <row r="29" spans="1:7" x14ac:dyDescent="0.25">
      <c r="A29" s="3">
        <v>44899</v>
      </c>
      <c r="B29" s="4" t="s">
        <v>14</v>
      </c>
      <c r="C29" s="4" t="s">
        <v>27</v>
      </c>
      <c r="D29" s="4" t="s">
        <v>37</v>
      </c>
      <c r="E29" s="4">
        <v>21</v>
      </c>
      <c r="F29" s="4">
        <v>270</v>
      </c>
      <c r="G29" s="4">
        <f t="shared" si="0"/>
        <v>405</v>
      </c>
    </row>
    <row r="30" spans="1:7" x14ac:dyDescent="0.25">
      <c r="A30" s="3">
        <v>44905</v>
      </c>
      <c r="B30" s="4" t="s">
        <v>15</v>
      </c>
      <c r="C30" s="4" t="s">
        <v>29</v>
      </c>
      <c r="D30" s="4" t="s">
        <v>30</v>
      </c>
      <c r="E30" s="4">
        <v>11</v>
      </c>
      <c r="F30" s="4">
        <v>385</v>
      </c>
      <c r="G30" s="4">
        <f t="shared" si="0"/>
        <v>577</v>
      </c>
    </row>
    <row r="31" spans="1:7" x14ac:dyDescent="0.25">
      <c r="A31" s="3">
        <v>44911</v>
      </c>
      <c r="B31" s="4" t="s">
        <v>16</v>
      </c>
      <c r="C31" s="4" t="s">
        <v>31</v>
      </c>
      <c r="D31" s="4" t="s">
        <v>28</v>
      </c>
      <c r="E31" s="4">
        <v>7</v>
      </c>
      <c r="F31" s="4">
        <v>105</v>
      </c>
      <c r="G31" s="4">
        <f t="shared" si="0"/>
        <v>157</v>
      </c>
    </row>
    <row r="32" spans="1:7" x14ac:dyDescent="0.25">
      <c r="A32" s="3">
        <v>44917</v>
      </c>
      <c r="B32" s="4" t="s">
        <v>17</v>
      </c>
      <c r="C32" s="4" t="s">
        <v>25</v>
      </c>
      <c r="D32" s="4" t="s">
        <v>30</v>
      </c>
      <c r="E32" s="4">
        <v>9</v>
      </c>
      <c r="F32" s="4">
        <v>382</v>
      </c>
      <c r="G32" s="4">
        <f t="shared" si="0"/>
        <v>573</v>
      </c>
    </row>
    <row r="33" spans="1:7" x14ac:dyDescent="0.25">
      <c r="A33" s="3">
        <v>44923</v>
      </c>
      <c r="B33" s="4" t="s">
        <v>18</v>
      </c>
      <c r="C33" s="4" t="s">
        <v>27</v>
      </c>
      <c r="D33" s="4" t="s">
        <v>30</v>
      </c>
      <c r="E33" s="4">
        <v>12</v>
      </c>
      <c r="F33" s="4">
        <v>360</v>
      </c>
      <c r="G33" s="4">
        <f t="shared" si="0"/>
        <v>540</v>
      </c>
    </row>
    <row r="34" spans="1:7" x14ac:dyDescent="0.25">
      <c r="A34" s="3">
        <v>44837</v>
      </c>
      <c r="B34" s="4" t="s">
        <v>19</v>
      </c>
      <c r="C34" s="4" t="s">
        <v>25</v>
      </c>
      <c r="D34" s="4" t="s">
        <v>26</v>
      </c>
      <c r="E34" s="4">
        <v>9</v>
      </c>
      <c r="F34" s="4">
        <v>228</v>
      </c>
      <c r="G34" s="4">
        <f t="shared" si="0"/>
        <v>342</v>
      </c>
    </row>
    <row r="35" spans="1:7" x14ac:dyDescent="0.25">
      <c r="A35" s="3">
        <v>44843</v>
      </c>
      <c r="B35" s="4" t="s">
        <v>20</v>
      </c>
      <c r="C35" s="4" t="s">
        <v>29</v>
      </c>
      <c r="D35" s="4" t="s">
        <v>32</v>
      </c>
      <c r="E35" s="4">
        <v>9</v>
      </c>
      <c r="F35" s="4">
        <v>474</v>
      </c>
      <c r="G35" s="4">
        <f t="shared" si="0"/>
        <v>711</v>
      </c>
    </row>
    <row r="36" spans="1:7" x14ac:dyDescent="0.25">
      <c r="A36" s="3">
        <v>44849</v>
      </c>
      <c r="B36" s="4" t="s">
        <v>21</v>
      </c>
      <c r="C36" s="4" t="s">
        <v>25</v>
      </c>
      <c r="D36" s="4" t="s">
        <v>30</v>
      </c>
      <c r="E36" s="4">
        <v>13</v>
      </c>
      <c r="F36" s="4">
        <v>362</v>
      </c>
      <c r="G36" s="4">
        <f t="shared" si="0"/>
        <v>543</v>
      </c>
    </row>
    <row r="37" spans="1:7" x14ac:dyDescent="0.25">
      <c r="A37" s="3">
        <v>44855</v>
      </c>
      <c r="B37" s="4" t="s">
        <v>22</v>
      </c>
      <c r="C37" s="4" t="s">
        <v>31</v>
      </c>
      <c r="D37" s="4" t="s">
        <v>32</v>
      </c>
      <c r="E37" s="4">
        <v>17</v>
      </c>
      <c r="F37" s="4">
        <v>434</v>
      </c>
      <c r="G37" s="4">
        <f t="shared" si="0"/>
        <v>651</v>
      </c>
    </row>
    <row r="38" spans="1:7" x14ac:dyDescent="0.25">
      <c r="A38" s="3">
        <v>44861</v>
      </c>
      <c r="B38" s="4" t="s">
        <v>23</v>
      </c>
      <c r="C38" s="4" t="s">
        <v>29</v>
      </c>
      <c r="D38" s="4" t="s">
        <v>37</v>
      </c>
      <c r="E38" s="4">
        <v>23</v>
      </c>
      <c r="F38" s="4">
        <v>407</v>
      </c>
      <c r="G38" s="4">
        <f t="shared" si="0"/>
        <v>610</v>
      </c>
    </row>
    <row r="39" spans="1:7" x14ac:dyDescent="0.25">
      <c r="A39" s="3">
        <v>44836</v>
      </c>
      <c r="B39" s="4" t="s">
        <v>5</v>
      </c>
      <c r="C39" s="4" t="s">
        <v>27</v>
      </c>
      <c r="D39" s="4" t="s">
        <v>30</v>
      </c>
      <c r="E39" s="4">
        <v>12</v>
      </c>
      <c r="F39" s="4">
        <v>265</v>
      </c>
      <c r="G39" s="4">
        <f t="shared" si="0"/>
        <v>397</v>
      </c>
    </row>
    <row r="40" spans="1:7" x14ac:dyDescent="0.25">
      <c r="A40" s="3">
        <v>44849</v>
      </c>
      <c r="B40" s="4" t="s">
        <v>6</v>
      </c>
      <c r="C40" s="4" t="s">
        <v>29</v>
      </c>
      <c r="D40" s="4" t="s">
        <v>26</v>
      </c>
      <c r="E40" s="4">
        <v>12</v>
      </c>
      <c r="F40" s="4">
        <v>427</v>
      </c>
      <c r="G40" s="4">
        <f t="shared" si="0"/>
        <v>640</v>
      </c>
    </row>
    <row r="41" spans="1:7" x14ac:dyDescent="0.25">
      <c r="A41" s="3">
        <v>44857</v>
      </c>
      <c r="B41" s="4" t="s">
        <v>7</v>
      </c>
      <c r="C41" s="4" t="s">
        <v>31</v>
      </c>
      <c r="D41" s="4" t="s">
        <v>28</v>
      </c>
      <c r="E41" s="4">
        <v>19</v>
      </c>
      <c r="F41" s="4">
        <v>224</v>
      </c>
      <c r="G41" s="4">
        <f t="shared" si="0"/>
        <v>336</v>
      </c>
    </row>
    <row r="42" spans="1:7" x14ac:dyDescent="0.25">
      <c r="A42" s="3">
        <v>44863</v>
      </c>
      <c r="B42" s="4" t="s">
        <v>8</v>
      </c>
      <c r="C42" s="4" t="s">
        <v>25</v>
      </c>
      <c r="D42" s="4" t="s">
        <v>30</v>
      </c>
      <c r="E42" s="4">
        <v>11</v>
      </c>
      <c r="F42" s="4">
        <v>270</v>
      </c>
      <c r="G42" s="4">
        <f t="shared" si="0"/>
        <v>405</v>
      </c>
    </row>
    <row r="43" spans="1:7" x14ac:dyDescent="0.25">
      <c r="A43" s="3">
        <v>44869</v>
      </c>
      <c r="B43" s="4" t="s">
        <v>9</v>
      </c>
      <c r="C43" s="4" t="s">
        <v>27</v>
      </c>
      <c r="D43" s="4" t="s">
        <v>30</v>
      </c>
      <c r="E43" s="4">
        <v>7</v>
      </c>
      <c r="F43" s="4">
        <v>385</v>
      </c>
      <c r="G43" s="4">
        <f t="shared" si="0"/>
        <v>577</v>
      </c>
    </row>
    <row r="44" spans="1:7" x14ac:dyDescent="0.25">
      <c r="A44" s="3">
        <v>44875</v>
      </c>
      <c r="B44" s="4" t="s">
        <v>10</v>
      </c>
      <c r="C44" s="4" t="s">
        <v>25</v>
      </c>
      <c r="D44" s="4" t="s">
        <v>26</v>
      </c>
      <c r="E44" s="4">
        <v>9</v>
      </c>
      <c r="F44" s="4">
        <v>105</v>
      </c>
      <c r="G44" s="4">
        <f t="shared" si="0"/>
        <v>157</v>
      </c>
    </row>
    <row r="45" spans="1:7" x14ac:dyDescent="0.25">
      <c r="A45" s="3">
        <v>44881</v>
      </c>
      <c r="B45" s="4" t="s">
        <v>11</v>
      </c>
      <c r="C45" s="4" t="s">
        <v>29</v>
      </c>
      <c r="D45" s="4" t="s">
        <v>32</v>
      </c>
      <c r="E45" s="4">
        <v>24</v>
      </c>
      <c r="F45" s="4">
        <v>382</v>
      </c>
      <c r="G45" s="4">
        <f t="shared" si="0"/>
        <v>573</v>
      </c>
    </row>
    <row r="46" spans="1:7" x14ac:dyDescent="0.25">
      <c r="A46" s="3">
        <v>44887</v>
      </c>
      <c r="B46" s="4" t="s">
        <v>12</v>
      </c>
      <c r="C46" s="4" t="s">
        <v>25</v>
      </c>
      <c r="D46" s="4" t="s">
        <v>30</v>
      </c>
      <c r="E46" s="4">
        <v>22</v>
      </c>
      <c r="F46" s="4">
        <v>360</v>
      </c>
      <c r="G46" s="4">
        <f t="shared" si="0"/>
        <v>540</v>
      </c>
    </row>
    <row r="47" spans="1:7" x14ac:dyDescent="0.25">
      <c r="A47" s="3">
        <v>44893</v>
      </c>
      <c r="B47" s="4" t="s">
        <v>13</v>
      </c>
      <c r="C47" s="4" t="s">
        <v>31</v>
      </c>
      <c r="D47" s="4" t="s">
        <v>32</v>
      </c>
      <c r="E47" s="4">
        <v>22</v>
      </c>
      <c r="F47" s="4">
        <v>228</v>
      </c>
      <c r="G47" s="4">
        <f t="shared" si="0"/>
        <v>342</v>
      </c>
    </row>
    <row r="48" spans="1:7" x14ac:dyDescent="0.25">
      <c r="A48" s="3">
        <v>44899</v>
      </c>
      <c r="B48" s="4" t="s">
        <v>14</v>
      </c>
      <c r="C48" s="4" t="s">
        <v>31</v>
      </c>
      <c r="D48" s="4" t="s">
        <v>28</v>
      </c>
      <c r="E48" s="4">
        <v>21</v>
      </c>
      <c r="F48" s="4">
        <v>474</v>
      </c>
      <c r="G48" s="4">
        <f t="shared" si="0"/>
        <v>711</v>
      </c>
    </row>
    <row r="49" spans="1:7" x14ac:dyDescent="0.25">
      <c r="A49" s="3">
        <v>44905</v>
      </c>
      <c r="B49" s="4" t="s">
        <v>15</v>
      </c>
      <c r="C49" s="4" t="s">
        <v>25</v>
      </c>
      <c r="D49" s="4" t="s">
        <v>30</v>
      </c>
      <c r="E49" s="4">
        <v>11</v>
      </c>
      <c r="F49" s="4">
        <v>434</v>
      </c>
      <c r="G49" s="4">
        <f t="shared" si="0"/>
        <v>651</v>
      </c>
    </row>
    <row r="50" spans="1:7" x14ac:dyDescent="0.25">
      <c r="A50" s="3">
        <v>44911</v>
      </c>
      <c r="B50" s="4" t="s">
        <v>16</v>
      </c>
      <c r="C50" s="4" t="s">
        <v>27</v>
      </c>
      <c r="D50" s="4" t="s">
        <v>30</v>
      </c>
      <c r="E50" s="4">
        <v>7</v>
      </c>
      <c r="F50" s="4">
        <v>407</v>
      </c>
      <c r="G50" s="4">
        <f t="shared" si="0"/>
        <v>610</v>
      </c>
    </row>
    <row r="51" spans="1:7" x14ac:dyDescent="0.25">
      <c r="A51" s="3">
        <v>44917</v>
      </c>
      <c r="B51" s="4" t="s">
        <v>17</v>
      </c>
      <c r="C51" s="4" t="s">
        <v>25</v>
      </c>
      <c r="D51" s="4" t="s">
        <v>26</v>
      </c>
      <c r="E51" s="4">
        <v>9</v>
      </c>
      <c r="F51" s="4">
        <v>265</v>
      </c>
      <c r="G51" s="4">
        <f t="shared" si="0"/>
        <v>397</v>
      </c>
    </row>
    <row r="52" spans="1:7" x14ac:dyDescent="0.25">
      <c r="A52" s="3">
        <v>44923</v>
      </c>
      <c r="B52" s="4" t="s">
        <v>18</v>
      </c>
      <c r="C52" s="4" t="s">
        <v>29</v>
      </c>
      <c r="D52" s="4" t="s">
        <v>32</v>
      </c>
      <c r="E52" s="4">
        <v>12</v>
      </c>
      <c r="F52" s="4">
        <v>427</v>
      </c>
      <c r="G52" s="4">
        <f t="shared" si="0"/>
        <v>640</v>
      </c>
    </row>
    <row r="53" spans="1:7" x14ac:dyDescent="0.25">
      <c r="A53" s="3">
        <v>44837</v>
      </c>
      <c r="B53" s="4" t="s">
        <v>19</v>
      </c>
      <c r="C53" s="4" t="s">
        <v>25</v>
      </c>
      <c r="D53" s="4" t="s">
        <v>30</v>
      </c>
      <c r="E53" s="4">
        <v>9</v>
      </c>
      <c r="F53" s="4">
        <v>224</v>
      </c>
      <c r="G53" s="4">
        <f t="shared" si="0"/>
        <v>336</v>
      </c>
    </row>
    <row r="54" spans="1:7" x14ac:dyDescent="0.25">
      <c r="A54" s="3">
        <v>44843</v>
      </c>
      <c r="B54" s="4" t="s">
        <v>20</v>
      </c>
      <c r="C54" s="4" t="s">
        <v>31</v>
      </c>
      <c r="D54" s="4" t="s">
        <v>32</v>
      </c>
      <c r="E54" s="4">
        <v>9</v>
      </c>
      <c r="F54" s="4">
        <v>270</v>
      </c>
      <c r="G54" s="4">
        <f t="shared" si="0"/>
        <v>405</v>
      </c>
    </row>
    <row r="55" spans="1:7" x14ac:dyDescent="0.25">
      <c r="A55" s="3">
        <v>44849</v>
      </c>
      <c r="B55" s="4" t="s">
        <v>21</v>
      </c>
      <c r="C55" s="4" t="s">
        <v>29</v>
      </c>
      <c r="D55" s="4" t="s">
        <v>37</v>
      </c>
      <c r="E55" s="4">
        <v>13</v>
      </c>
      <c r="F55" s="4">
        <v>385</v>
      </c>
      <c r="G55" s="4">
        <f t="shared" si="0"/>
        <v>577</v>
      </c>
    </row>
    <row r="56" spans="1:7" x14ac:dyDescent="0.25">
      <c r="A56" s="3">
        <v>44855</v>
      </c>
      <c r="B56" s="4" t="s">
        <v>22</v>
      </c>
      <c r="C56" s="4" t="s">
        <v>27</v>
      </c>
      <c r="D56" s="4" t="s">
        <v>30</v>
      </c>
      <c r="E56" s="4">
        <v>17</v>
      </c>
      <c r="F56" s="4">
        <v>105</v>
      </c>
      <c r="G56" s="4">
        <f t="shared" si="0"/>
        <v>157</v>
      </c>
    </row>
    <row r="57" spans="1:7" x14ac:dyDescent="0.25">
      <c r="A57" s="3">
        <v>44861</v>
      </c>
      <c r="B57" s="4" t="s">
        <v>23</v>
      </c>
      <c r="C57" s="4" t="s">
        <v>29</v>
      </c>
      <c r="D57" s="4" t="s">
        <v>26</v>
      </c>
      <c r="E57" s="4">
        <v>23</v>
      </c>
      <c r="F57" s="4">
        <v>382</v>
      </c>
      <c r="G57" s="4">
        <f t="shared" si="0"/>
        <v>573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0" ma:contentTypeDescription="Crée un document." ma:contentTypeScope="" ma:versionID="6b7e9094680b55e4c492d767c6e1088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f11e83d12cbdd0fcf0b62744a2ab94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60069-CB67-41E0-9AEF-18185FA64F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AB67D1-9965-4F36-B224-49FADBD060E0}">
  <ds:schemaRefs>
    <ds:schemaRef ds:uri="http://purl.org/dc/terms/"/>
    <ds:schemaRef ds:uri="http://schemas.microsoft.com/office/2006/documentManagement/types"/>
    <ds:schemaRef ds:uri="http://purl.org/dc/elements/1.1/"/>
    <ds:schemaRef ds:uri="5108b482-ed1f-49bf-b025-5edd9372aebb"/>
    <ds:schemaRef ds:uri="http://www.w3.org/XML/1998/namespace"/>
    <ds:schemaRef ds:uri="http://schemas.openxmlformats.org/package/2006/metadata/core-properties"/>
    <ds:schemaRef ds:uri="787d3242-fde3-4d64-9b07-88719ea7c128"/>
    <ds:schemaRef ds:uri="http://purl.org/dc/dcmitype/"/>
    <ds:schemaRef ds:uri="http://schemas.microsoft.com/office/infopath/2007/PartnerControls"/>
    <ds:schemaRef ds:uri="http://schemas.microsoft.com/office/2006/metadata/properties"/>
    <ds:schemaRef ds:uri="880c6022-bd6f-4139-acfc-26d1a07d8115"/>
    <ds:schemaRef ds:uri="e57ff369-1357-4efb-b729-809d28244904"/>
  </ds:schemaRefs>
</ds:datastoreItem>
</file>

<file path=customXml/itemProps3.xml><?xml version="1.0" encoding="utf-8"?>
<ds:datastoreItem xmlns:ds="http://schemas.openxmlformats.org/officeDocument/2006/customXml" ds:itemID="{946A27BB-9E3C-4AAB-AA1D-FC2BCEA70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Data_départ</vt:lpstr>
      <vt:lpstr>Ajout_Data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Moreau, manager</dc:creator>
  <cp:lastModifiedBy>Ludovic Moreau, manager</cp:lastModifiedBy>
  <dcterms:created xsi:type="dcterms:W3CDTF">2024-02-28T16:09:42Z</dcterms:created>
  <dcterms:modified xsi:type="dcterms:W3CDTF">2025-05-24T19:33:16Z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68700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9" name="SharedWithUsers">
    <vt:lpwstr/>
  </property>
</Properties>
</file>