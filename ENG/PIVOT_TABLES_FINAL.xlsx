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2.xml" ContentType="application/vnd.openxmlformats-officedocument.spreadsheetml.table+xml"/>
  <Override PartName="/xl/pivotTables/pivotTable16.xml" ContentType="application/vnd.openxmlformats-officedocument.spreadsheetml.pivot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https://lmoreau.sharepoint.com/sites/FORMATIONS2/EXCEL/EXCEL MODULES/PIVOT TABLE/"/>
    </mc:Choice>
  </mc:AlternateContent>
  <xr:revisionPtr revIDLastSave="890" documentId="8_{12A739D0-E724-41AC-B083-2BA802D98C35}" xr6:coauthVersionLast="47" xr6:coauthVersionMax="47" xr10:uidLastSave="{B2763557-DE36-457F-A094-7E45C0F1514E}"/>
  <bookViews>
    <workbookView xWindow="-28920" yWindow="-120" windowWidth="29040" windowHeight="17520" tabRatio="724" firstSheet="2" activeTab="3" xr2:uid="{014BBB60-E45C-4242-B6AA-77014AE124DF}"/>
  </bookViews>
  <sheets>
    <sheet name="Grouped rows" sheetId="18" r:id="rId1"/>
    <sheet name="YTD" sheetId="17" r:id="rId2"/>
    <sheet name="Detail1" sheetId="19" r:id="rId3"/>
    <sheet name="YoY" sheetId="16" r:id="rId4"/>
    <sheet name="Monthly changes (charts)" sheetId="15" r:id="rId5"/>
    <sheet name="Monthly changes" sheetId="14" r:id="rId6"/>
    <sheet name="Rank" sheetId="13" r:id="rId7"/>
    <sheet name="Sales History" sheetId="12" r:id="rId8"/>
    <sheet name="Bar chart" sheetId="11" r:id="rId9"/>
    <sheet name="Pivot chart" sheetId="10" r:id="rId10"/>
    <sheet name="Calc. field" sheetId="7" r:id="rId11"/>
    <sheet name="Basic pivot tables" sheetId="6" r:id="rId12"/>
    <sheet name="Data Source" sheetId="1" r:id="rId13"/>
    <sheet name="New data" sheetId="2" r:id="rId14"/>
    <sheet name="Data Source (2)" sheetId="9" r:id="rId15"/>
  </sheets>
  <definedNames>
    <definedName name="NativeTimeline_Date">#N/A</definedName>
    <definedName name="Slicer_Channel">#N/A</definedName>
    <definedName name="Slicer_Delivery">#N/A</definedName>
    <definedName name="Slicer_Prod">#N/A</definedName>
    <definedName name="Slicer_Years__Date">#N/A</definedName>
  </definedNames>
  <calcPr calcId="191028"/>
  <pivotCaches>
    <pivotCache cacheId="110" r:id="rId16"/>
    <pivotCache cacheId="118"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1" i="1" l="1"/>
  <c r="G220" i="1"/>
  <c r="G218" i="1"/>
  <c r="G217" i="1"/>
  <c r="G215" i="1"/>
  <c r="G214" i="1"/>
  <c r="G212" i="1"/>
  <c r="G211" i="1"/>
  <c r="I211" i="1" s="1"/>
  <c r="G209" i="1"/>
  <c r="H209" i="1" s="1"/>
  <c r="G208" i="1"/>
  <c r="H208" i="1" s="1"/>
  <c r="G206" i="1"/>
  <c r="I206" i="1" s="1"/>
  <c r="G205" i="1"/>
  <c r="H205" i="1" s="1"/>
  <c r="G203" i="1"/>
  <c r="G202" i="1"/>
  <c r="G200" i="1"/>
  <c r="G199" i="1"/>
  <c r="G197" i="1"/>
  <c r="G196" i="1"/>
  <c r="G194" i="1"/>
  <c r="G193" i="1"/>
  <c r="I193" i="1" s="1"/>
  <c r="G191" i="1"/>
  <c r="H191" i="1" s="1"/>
  <c r="G190" i="1"/>
  <c r="H190" i="1" s="1"/>
  <c r="G188" i="1"/>
  <c r="H188" i="1" s="1"/>
  <c r="G187" i="1"/>
  <c r="I187" i="1" s="1"/>
  <c r="G185" i="1"/>
  <c r="G184" i="1"/>
  <c r="G182" i="1"/>
  <c r="G181" i="1"/>
  <c r="G179" i="1"/>
  <c r="G178" i="1"/>
  <c r="G177" i="1"/>
  <c r="G176" i="1"/>
  <c r="G173" i="1"/>
  <c r="I173" i="1" s="1"/>
  <c r="G172" i="1"/>
  <c r="I172" i="1" s="1"/>
  <c r="G170" i="1"/>
  <c r="I170" i="1" s="1"/>
  <c r="G169" i="1"/>
  <c r="I169" i="1" s="1"/>
  <c r="G167" i="1"/>
  <c r="I176" i="1"/>
  <c r="H165" i="1"/>
  <c r="H166" i="1"/>
  <c r="H168" i="1"/>
  <c r="H171" i="1"/>
  <c r="H174" i="1"/>
  <c r="H175" i="1"/>
  <c r="H180" i="1"/>
  <c r="H183" i="1"/>
  <c r="H185" i="1"/>
  <c r="H186" i="1"/>
  <c r="H189" i="1"/>
  <c r="H192" i="1"/>
  <c r="H195" i="1"/>
  <c r="H196" i="1"/>
  <c r="H197" i="1"/>
  <c r="H198" i="1"/>
  <c r="H201" i="1"/>
  <c r="H204" i="1"/>
  <c r="H206" i="1"/>
  <c r="H207" i="1"/>
  <c r="H210" i="1"/>
  <c r="H213" i="1"/>
  <c r="H214" i="1"/>
  <c r="H216" i="1"/>
  <c r="H219" i="1"/>
  <c r="H221" i="1"/>
  <c r="I165" i="1"/>
  <c r="I166" i="1"/>
  <c r="I167" i="1"/>
  <c r="I168" i="1"/>
  <c r="I171" i="1"/>
  <c r="I174" i="1"/>
  <c r="I175" i="1"/>
  <c r="I180" i="1"/>
  <c r="I183" i="1"/>
  <c r="I185" i="1"/>
  <c r="I186" i="1"/>
  <c r="I189" i="1"/>
  <c r="I192" i="1"/>
  <c r="I195" i="1"/>
  <c r="I198" i="1"/>
  <c r="I201" i="1"/>
  <c r="I203" i="1"/>
  <c r="I204" i="1"/>
  <c r="I207" i="1"/>
  <c r="I210" i="1"/>
  <c r="I212" i="1"/>
  <c r="I213" i="1"/>
  <c r="I215" i="1"/>
  <c r="I216" i="1"/>
  <c r="I219" i="1"/>
  <c r="I221" i="1"/>
  <c r="I220" i="1"/>
  <c r="I218" i="1"/>
  <c r="I217" i="1"/>
  <c r="H215" i="1"/>
  <c r="I214" i="1"/>
  <c r="H212" i="1"/>
  <c r="H203" i="1"/>
  <c r="H202" i="1"/>
  <c r="I200" i="1"/>
  <c r="I199" i="1"/>
  <c r="I197" i="1"/>
  <c r="I196" i="1"/>
  <c r="I194" i="1"/>
  <c r="I184" i="1"/>
  <c r="I182" i="1"/>
  <c r="I181" i="1"/>
  <c r="H179" i="1"/>
  <c r="H178" i="1"/>
  <c r="H177" i="1"/>
  <c r="H176" i="1"/>
  <c r="H167" i="1"/>
  <c r="G164" i="9"/>
  <c r="I164" i="9" s="1"/>
  <c r="G163" i="9"/>
  <c r="I163" i="9" s="1"/>
  <c r="G162" i="9"/>
  <c r="I162" i="9" s="1"/>
  <c r="G161" i="9"/>
  <c r="I161" i="9" s="1"/>
  <c r="G160" i="9"/>
  <c r="I160" i="9" s="1"/>
  <c r="G159" i="9"/>
  <c r="I159" i="9" s="1"/>
  <c r="G158" i="9"/>
  <c r="I158" i="9" s="1"/>
  <c r="G157" i="9"/>
  <c r="I157" i="9" s="1"/>
  <c r="G156" i="9"/>
  <c r="I156" i="9" s="1"/>
  <c r="G155" i="9"/>
  <c r="I155" i="9" s="1"/>
  <c r="G154" i="9"/>
  <c r="I154" i="9" s="1"/>
  <c r="G153" i="9"/>
  <c r="I153" i="9" s="1"/>
  <c r="G152" i="9"/>
  <c r="I152" i="9" s="1"/>
  <c r="G151" i="9"/>
  <c r="I151" i="9" s="1"/>
  <c r="G150" i="9"/>
  <c r="I150" i="9" s="1"/>
  <c r="G149" i="9"/>
  <c r="I149" i="9" s="1"/>
  <c r="G148" i="9"/>
  <c r="I148" i="9" s="1"/>
  <c r="G147" i="9"/>
  <c r="I147" i="9" s="1"/>
  <c r="G146" i="9"/>
  <c r="I146" i="9" s="1"/>
  <c r="G145" i="9"/>
  <c r="I145" i="9" s="1"/>
  <c r="G144" i="9"/>
  <c r="I144" i="9" s="1"/>
  <c r="G143" i="9"/>
  <c r="I143" i="9" s="1"/>
  <c r="G142" i="9"/>
  <c r="I142" i="9" s="1"/>
  <c r="G141" i="9"/>
  <c r="I141" i="9" s="1"/>
  <c r="G140" i="9"/>
  <c r="I140" i="9" s="1"/>
  <c r="G139" i="9"/>
  <c r="I139" i="9" s="1"/>
  <c r="G138" i="9"/>
  <c r="I138" i="9" s="1"/>
  <c r="G137" i="9"/>
  <c r="I137" i="9" s="1"/>
  <c r="G136" i="9"/>
  <c r="I136" i="9" s="1"/>
  <c r="G135" i="9"/>
  <c r="I135" i="9" s="1"/>
  <c r="G134" i="9"/>
  <c r="I134" i="9" s="1"/>
  <c r="G133" i="9"/>
  <c r="I133" i="9" s="1"/>
  <c r="G132" i="9"/>
  <c r="I132" i="9" s="1"/>
  <c r="G131" i="9"/>
  <c r="I131" i="9" s="1"/>
  <c r="G130" i="9"/>
  <c r="I130" i="9" s="1"/>
  <c r="G129" i="9"/>
  <c r="I129" i="9" s="1"/>
  <c r="G128" i="9"/>
  <c r="I128" i="9" s="1"/>
  <c r="G127" i="9"/>
  <c r="I127" i="9" s="1"/>
  <c r="G126" i="9"/>
  <c r="I126" i="9" s="1"/>
  <c r="G125" i="9"/>
  <c r="I125" i="9" s="1"/>
  <c r="G124" i="9"/>
  <c r="I124" i="9" s="1"/>
  <c r="G123" i="9"/>
  <c r="I123" i="9" s="1"/>
  <c r="G122" i="9"/>
  <c r="I122" i="9" s="1"/>
  <c r="G121" i="9"/>
  <c r="I121" i="9" s="1"/>
  <c r="G120" i="9"/>
  <c r="I120" i="9" s="1"/>
  <c r="G119" i="9"/>
  <c r="I119" i="9" s="1"/>
  <c r="G118" i="9"/>
  <c r="I118" i="9" s="1"/>
  <c r="G117" i="9"/>
  <c r="I117" i="9" s="1"/>
  <c r="G116" i="9"/>
  <c r="I116" i="9" s="1"/>
  <c r="G115" i="9"/>
  <c r="I115" i="9" s="1"/>
  <c r="G114" i="9"/>
  <c r="I114" i="9" s="1"/>
  <c r="G113" i="9"/>
  <c r="I113" i="9" s="1"/>
  <c r="G112" i="9"/>
  <c r="I112" i="9" s="1"/>
  <c r="G111" i="9"/>
  <c r="I111" i="9" s="1"/>
  <c r="G110" i="9"/>
  <c r="I110" i="9" s="1"/>
  <c r="G109" i="9"/>
  <c r="I109" i="9" s="1"/>
  <c r="G108" i="9"/>
  <c r="I108" i="9" s="1"/>
  <c r="G107" i="9"/>
  <c r="I107" i="9" s="1"/>
  <c r="G106" i="9"/>
  <c r="I106" i="9" s="1"/>
  <c r="G105" i="9"/>
  <c r="I105" i="9" s="1"/>
  <c r="G104" i="9"/>
  <c r="I104" i="9" s="1"/>
  <c r="G103" i="9"/>
  <c r="I103" i="9" s="1"/>
  <c r="G102" i="9"/>
  <c r="I102" i="9" s="1"/>
  <c r="G101" i="9"/>
  <c r="I101" i="9" s="1"/>
  <c r="G100" i="9"/>
  <c r="I100" i="9" s="1"/>
  <c r="G99" i="9"/>
  <c r="I99" i="9" s="1"/>
  <c r="G98" i="9"/>
  <c r="I98" i="9" s="1"/>
  <c r="G97" i="9"/>
  <c r="I97" i="9" s="1"/>
  <c r="G96" i="9"/>
  <c r="I96" i="9" s="1"/>
  <c r="H95" i="9"/>
  <c r="G95" i="9"/>
  <c r="I95" i="9" s="1"/>
  <c r="G94" i="9"/>
  <c r="I94" i="9" s="1"/>
  <c r="G93" i="9"/>
  <c r="I93" i="9" s="1"/>
  <c r="G92" i="9"/>
  <c r="I92" i="9" s="1"/>
  <c r="H91" i="9"/>
  <c r="G91" i="9"/>
  <c r="I91" i="9" s="1"/>
  <c r="G90" i="9"/>
  <c r="I90" i="9" s="1"/>
  <c r="G89" i="9"/>
  <c r="H89" i="9" s="1"/>
  <c r="G88" i="9"/>
  <c r="I88" i="9" s="1"/>
  <c r="H87" i="9"/>
  <c r="G87" i="9"/>
  <c r="I87" i="9" s="1"/>
  <c r="G86" i="9"/>
  <c r="I86" i="9" s="1"/>
  <c r="G85" i="9"/>
  <c r="I85" i="9" s="1"/>
  <c r="G84" i="9"/>
  <c r="I84" i="9" s="1"/>
  <c r="H83" i="9"/>
  <c r="G83" i="9"/>
  <c r="I83" i="9" s="1"/>
  <c r="G82" i="9"/>
  <c r="I82" i="9" s="1"/>
  <c r="G81" i="9"/>
  <c r="H81" i="9" s="1"/>
  <c r="G80" i="9"/>
  <c r="I80" i="9" s="1"/>
  <c r="H79" i="9"/>
  <c r="G79" i="9"/>
  <c r="I79" i="9" s="1"/>
  <c r="G78" i="9"/>
  <c r="I78" i="9" s="1"/>
  <c r="G77" i="9"/>
  <c r="H77" i="9" s="1"/>
  <c r="G76" i="9"/>
  <c r="I76" i="9" s="1"/>
  <c r="H75" i="9"/>
  <c r="G75" i="9"/>
  <c r="I75" i="9" s="1"/>
  <c r="G74" i="9"/>
  <c r="I74" i="9" s="1"/>
  <c r="G73" i="9"/>
  <c r="H73" i="9" s="1"/>
  <c r="G72" i="9"/>
  <c r="I72" i="9" s="1"/>
  <c r="H71" i="9"/>
  <c r="G71" i="9"/>
  <c r="I71" i="9" s="1"/>
  <c r="G70" i="9"/>
  <c r="I70" i="9" s="1"/>
  <c r="G69" i="9"/>
  <c r="H69" i="9" s="1"/>
  <c r="G68" i="9"/>
  <c r="I68" i="9" s="1"/>
  <c r="H67" i="9"/>
  <c r="G67" i="9"/>
  <c r="I67" i="9" s="1"/>
  <c r="G66" i="9"/>
  <c r="I66" i="9" s="1"/>
  <c r="G65" i="9"/>
  <c r="H65" i="9" s="1"/>
  <c r="G64" i="9"/>
  <c r="I64" i="9" s="1"/>
  <c r="H63" i="9"/>
  <c r="G63" i="9"/>
  <c r="I63" i="9" s="1"/>
  <c r="G62" i="9"/>
  <c r="I62" i="9" s="1"/>
  <c r="G61" i="9"/>
  <c r="H61" i="9" s="1"/>
  <c r="G60" i="9"/>
  <c r="I60" i="9" s="1"/>
  <c r="H59" i="9"/>
  <c r="G59" i="9"/>
  <c r="I59" i="9" s="1"/>
  <c r="G58" i="9"/>
  <c r="I58" i="9" s="1"/>
  <c r="G57" i="9"/>
  <c r="I57" i="9" s="1"/>
  <c r="G56" i="9"/>
  <c r="I56" i="9" s="1"/>
  <c r="H55" i="9"/>
  <c r="G55" i="9"/>
  <c r="I55" i="9" s="1"/>
  <c r="G54" i="9"/>
  <c r="I54" i="9" s="1"/>
  <c r="G53" i="9"/>
  <c r="H53" i="9" s="1"/>
  <c r="G52" i="9"/>
  <c r="I52" i="9" s="1"/>
  <c r="H51" i="9"/>
  <c r="G51" i="9"/>
  <c r="I51" i="9" s="1"/>
  <c r="G50" i="9"/>
  <c r="I50" i="9" s="1"/>
  <c r="G49" i="9"/>
  <c r="H49" i="9" s="1"/>
  <c r="G48" i="9"/>
  <c r="I48" i="9" s="1"/>
  <c r="H47" i="9"/>
  <c r="G47" i="9"/>
  <c r="I47" i="9" s="1"/>
  <c r="G46" i="9"/>
  <c r="I46" i="9" s="1"/>
  <c r="G45" i="9"/>
  <c r="I45" i="9" s="1"/>
  <c r="G44" i="9"/>
  <c r="I44" i="9" s="1"/>
  <c r="H43" i="9"/>
  <c r="G43" i="9"/>
  <c r="I43" i="9" s="1"/>
  <c r="G42" i="9"/>
  <c r="I42" i="9" s="1"/>
  <c r="G41" i="9"/>
  <c r="I41" i="9" s="1"/>
  <c r="G40" i="9"/>
  <c r="I40" i="9" s="1"/>
  <c r="H39" i="9"/>
  <c r="G39" i="9"/>
  <c r="I39" i="9" s="1"/>
  <c r="G38" i="9"/>
  <c r="I38" i="9" s="1"/>
  <c r="G37" i="9"/>
  <c r="H37" i="9" s="1"/>
  <c r="G36" i="9"/>
  <c r="I36" i="9" s="1"/>
  <c r="H35" i="9"/>
  <c r="G35" i="9"/>
  <c r="I35" i="9" s="1"/>
  <c r="G34" i="9"/>
  <c r="H34" i="9" s="1"/>
  <c r="G33" i="9"/>
  <c r="H33" i="9" s="1"/>
  <c r="G32" i="9"/>
  <c r="I32" i="9" s="1"/>
  <c r="H31" i="9"/>
  <c r="G31" i="9"/>
  <c r="I31" i="9" s="1"/>
  <c r="G30" i="9"/>
  <c r="I30" i="9" s="1"/>
  <c r="G29" i="9"/>
  <c r="H29" i="9" s="1"/>
  <c r="G28" i="9"/>
  <c r="I28" i="9" s="1"/>
  <c r="H27" i="9"/>
  <c r="G27" i="9"/>
  <c r="I27" i="9" s="1"/>
  <c r="G26" i="9"/>
  <c r="H26" i="9" s="1"/>
  <c r="G25" i="9"/>
  <c r="H25" i="9" s="1"/>
  <c r="G24" i="9"/>
  <c r="I24" i="9" s="1"/>
  <c r="H23" i="9"/>
  <c r="G23" i="9"/>
  <c r="I23" i="9" s="1"/>
  <c r="G22" i="9"/>
  <c r="H22" i="9" s="1"/>
  <c r="G21" i="9"/>
  <c r="H21" i="9" s="1"/>
  <c r="G20" i="9"/>
  <c r="I20" i="9" s="1"/>
  <c r="H19" i="9"/>
  <c r="G19" i="9"/>
  <c r="I19" i="9" s="1"/>
  <c r="G18" i="9"/>
  <c r="H18" i="9" s="1"/>
  <c r="G17" i="9"/>
  <c r="H17" i="9" s="1"/>
  <c r="G16" i="9"/>
  <c r="I16" i="9" s="1"/>
  <c r="H15" i="9"/>
  <c r="G15" i="9"/>
  <c r="I15" i="9" s="1"/>
  <c r="G14" i="9"/>
  <c r="H14" i="9" s="1"/>
  <c r="G13" i="9"/>
  <c r="I13" i="9" s="1"/>
  <c r="G12" i="9"/>
  <c r="I12" i="9" s="1"/>
  <c r="H11" i="9"/>
  <c r="G11" i="9"/>
  <c r="I11" i="9" s="1"/>
  <c r="G10" i="9"/>
  <c r="I10" i="9" s="1"/>
  <c r="G9" i="9"/>
  <c r="I9" i="9" s="1"/>
  <c r="G8" i="9"/>
  <c r="I8" i="9" s="1"/>
  <c r="H7" i="9"/>
  <c r="G7" i="9"/>
  <c r="I7" i="9" s="1"/>
  <c r="G6" i="9"/>
  <c r="H6" i="9" s="1"/>
  <c r="G5" i="9"/>
  <c r="H5" i="9" s="1"/>
  <c r="G4" i="9"/>
  <c r="I4" i="9" s="1"/>
  <c r="H3" i="9"/>
  <c r="G3" i="9"/>
  <c r="I3" i="9" s="1"/>
  <c r="G2" i="9"/>
  <c r="I2" i="9" s="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G4" i="1"/>
  <c r="G3" i="1"/>
  <c r="G2" i="1"/>
  <c r="G7" i="1"/>
  <c r="G6" i="1"/>
  <c r="G5" i="1"/>
  <c r="G10" i="1"/>
  <c r="G9" i="1"/>
  <c r="G8" i="1"/>
  <c r="G12" i="1"/>
  <c r="G11" i="1"/>
  <c r="G14" i="1"/>
  <c r="G13" i="1"/>
  <c r="G16" i="1"/>
  <c r="G15" i="1"/>
  <c r="G18" i="1"/>
  <c r="G17" i="1"/>
  <c r="G20" i="1"/>
  <c r="G19" i="1"/>
  <c r="G22" i="1"/>
  <c r="G21" i="1"/>
  <c r="G24" i="1"/>
  <c r="G23" i="1"/>
  <c r="G26" i="1"/>
  <c r="G25" i="1"/>
  <c r="G28" i="1"/>
  <c r="G27" i="1"/>
  <c r="G30" i="1"/>
  <c r="G29" i="1"/>
  <c r="G32" i="1"/>
  <c r="G31" i="1"/>
  <c r="G34" i="1"/>
  <c r="G33" i="1"/>
  <c r="G36" i="1"/>
  <c r="G35" i="1"/>
  <c r="G38" i="1"/>
  <c r="G37" i="1"/>
  <c r="G40" i="1"/>
  <c r="G39" i="1"/>
  <c r="G42" i="1"/>
  <c r="G41" i="1"/>
  <c r="G44" i="1"/>
  <c r="G43" i="1"/>
  <c r="G46" i="1"/>
  <c r="G45" i="1"/>
  <c r="G48" i="1"/>
  <c r="G47" i="1"/>
  <c r="G50" i="1"/>
  <c r="G49" i="1"/>
  <c r="G52" i="1"/>
  <c r="G51" i="1"/>
  <c r="G54" i="1"/>
  <c r="G53" i="1"/>
  <c r="G56" i="1"/>
  <c r="G55" i="1"/>
  <c r="G58" i="1"/>
  <c r="G57" i="1"/>
  <c r="G60" i="1"/>
  <c r="G59" i="1"/>
  <c r="G62" i="1"/>
  <c r="G61" i="1"/>
  <c r="G64" i="1"/>
  <c r="G63" i="1"/>
  <c r="G66" i="1"/>
  <c r="G65" i="1"/>
  <c r="G68" i="1"/>
  <c r="G67" i="1"/>
  <c r="G70" i="1"/>
  <c r="G69" i="1"/>
  <c r="G72" i="1"/>
  <c r="G71" i="1"/>
  <c r="G74" i="1"/>
  <c r="G73" i="1"/>
  <c r="G76" i="1"/>
  <c r="G75" i="1"/>
  <c r="G78" i="1"/>
  <c r="G77" i="1"/>
  <c r="G80" i="1"/>
  <c r="G79" i="1"/>
  <c r="G82" i="1"/>
  <c r="G81" i="1"/>
  <c r="G83" i="1"/>
  <c r="G84" i="1"/>
  <c r="G85" i="1"/>
  <c r="G87" i="1"/>
  <c r="G86" i="1"/>
  <c r="G88" i="1"/>
  <c r="G89" i="1"/>
  <c r="G90" i="1"/>
  <c r="G91" i="1"/>
  <c r="G92" i="1"/>
  <c r="G93" i="1"/>
  <c r="G94" i="1"/>
  <c r="G95" i="1"/>
  <c r="G96" i="1"/>
  <c r="G97" i="1"/>
  <c r="G99" i="1"/>
  <c r="G98" i="1"/>
  <c r="G101" i="1"/>
  <c r="G100" i="1"/>
  <c r="G102" i="1"/>
  <c r="G104" i="1"/>
  <c r="G103" i="1"/>
  <c r="G106" i="1"/>
  <c r="G105" i="1"/>
  <c r="G108" i="1"/>
  <c r="G107" i="1"/>
  <c r="G110" i="1"/>
  <c r="G109" i="1"/>
  <c r="G112" i="1"/>
  <c r="G111" i="1"/>
  <c r="G114" i="1"/>
  <c r="G113" i="1"/>
  <c r="G116" i="1"/>
  <c r="G115" i="1"/>
  <c r="G118" i="1"/>
  <c r="G117" i="1"/>
  <c r="G120" i="1"/>
  <c r="G119" i="1"/>
  <c r="G122" i="1"/>
  <c r="G121" i="1"/>
  <c r="G124" i="1"/>
  <c r="G123" i="1"/>
  <c r="G126" i="1"/>
  <c r="G125" i="1"/>
  <c r="G128" i="1"/>
  <c r="G127" i="1"/>
  <c r="G130" i="1"/>
  <c r="G129" i="1"/>
  <c r="G132" i="1"/>
  <c r="G131" i="1"/>
  <c r="G134" i="1"/>
  <c r="G133" i="1"/>
  <c r="G136" i="1"/>
  <c r="G135" i="1"/>
  <c r="G138" i="1"/>
  <c r="G137" i="1"/>
  <c r="G140" i="1"/>
  <c r="G139" i="1"/>
  <c r="G142" i="1"/>
  <c r="G141" i="1"/>
  <c r="G144" i="1"/>
  <c r="G143" i="1"/>
  <c r="G146" i="1"/>
  <c r="G145" i="1"/>
  <c r="G148" i="1"/>
  <c r="G147" i="1"/>
  <c r="G150" i="1"/>
  <c r="G149" i="1"/>
  <c r="G152" i="1"/>
  <c r="G151" i="1"/>
  <c r="G154" i="1"/>
  <c r="G153" i="1"/>
  <c r="G156" i="1"/>
  <c r="G155" i="1"/>
  <c r="G158" i="1"/>
  <c r="G157" i="1"/>
  <c r="G160" i="1"/>
  <c r="G159" i="1"/>
  <c r="G162" i="1"/>
  <c r="G161" i="1"/>
  <c r="G164" i="1"/>
  <c r="G163" i="1"/>
  <c r="G12" i="2"/>
  <c r="G20" i="2"/>
  <c r="G26" i="2"/>
  <c r="G29" i="2"/>
  <c r="G32" i="2"/>
  <c r="G35" i="2"/>
  <c r="G38" i="2"/>
  <c r="G41" i="2"/>
  <c r="G44" i="2"/>
  <c r="G47" i="2"/>
  <c r="G50" i="2"/>
  <c r="G53" i="2"/>
  <c r="G56" i="2"/>
  <c r="G5" i="2"/>
  <c r="G8" i="2"/>
  <c r="G13" i="2"/>
  <c r="G17" i="2"/>
  <c r="G23" i="2"/>
  <c r="G3" i="2"/>
  <c r="G14" i="2"/>
  <c r="G21" i="2"/>
  <c r="G27" i="2"/>
  <c r="G30" i="2"/>
  <c r="G33" i="2"/>
  <c r="G36" i="2"/>
  <c r="G39" i="2"/>
  <c r="G42" i="2"/>
  <c r="G45" i="2"/>
  <c r="G48" i="2"/>
  <c r="G51" i="2"/>
  <c r="G54" i="2"/>
  <c r="G57" i="2"/>
  <c r="G6" i="2"/>
  <c r="G9" i="2"/>
  <c r="G15" i="2"/>
  <c r="G18" i="2"/>
  <c r="G24" i="2"/>
  <c r="H173" i="1" l="1"/>
  <c r="I205" i="1"/>
  <c r="H172" i="1"/>
  <c r="H187" i="1"/>
  <c r="I191" i="1"/>
  <c r="I190" i="1"/>
  <c r="H169" i="1"/>
  <c r="I209" i="1"/>
  <c r="I208" i="1"/>
  <c r="I188" i="1"/>
  <c r="I179" i="1"/>
  <c r="H200" i="1"/>
  <c r="I202" i="1"/>
  <c r="I178" i="1"/>
  <c r="H211" i="1"/>
  <c r="H199" i="1"/>
  <c r="I177" i="1"/>
  <c r="H220" i="1"/>
  <c r="H184" i="1"/>
  <c r="H218" i="1"/>
  <c r="H194" i="1"/>
  <c r="H182" i="1"/>
  <c r="H170" i="1"/>
  <c r="H217" i="1"/>
  <c r="H193" i="1"/>
  <c r="H181" i="1"/>
  <c r="H9" i="9"/>
  <c r="H41" i="9"/>
  <c r="H45" i="9"/>
  <c r="H57" i="9"/>
  <c r="H93" i="9"/>
  <c r="H97" i="9"/>
  <c r="H101" i="9"/>
  <c r="H105" i="9"/>
  <c r="H109" i="9"/>
  <c r="H113" i="9"/>
  <c r="H117" i="9"/>
  <c r="H121" i="9"/>
  <c r="H125" i="9"/>
  <c r="H129" i="9"/>
  <c r="H133" i="9"/>
  <c r="H137" i="9"/>
  <c r="H141" i="9"/>
  <c r="H145" i="9"/>
  <c r="H149" i="9"/>
  <c r="H153" i="9"/>
  <c r="H157" i="9"/>
  <c r="H161" i="9"/>
  <c r="H13" i="9"/>
  <c r="H85" i="9"/>
  <c r="I5" i="9"/>
  <c r="I29" i="9"/>
  <c r="I33" i="9"/>
  <c r="I37" i="9"/>
  <c r="I49" i="9"/>
  <c r="I53" i="9"/>
  <c r="I61" i="9"/>
  <c r="I65" i="9"/>
  <c r="I69" i="9"/>
  <c r="I73" i="9"/>
  <c r="I77" i="9"/>
  <c r="I81" i="9"/>
  <c r="I89" i="9"/>
  <c r="I21" i="9"/>
  <c r="H2" i="9"/>
  <c r="H10" i="9"/>
  <c r="H38" i="9"/>
  <c r="H42" i="9"/>
  <c r="H46" i="9"/>
  <c r="H50" i="9"/>
  <c r="H54" i="9"/>
  <c r="H58" i="9"/>
  <c r="H62" i="9"/>
  <c r="H66" i="9"/>
  <c r="H70" i="9"/>
  <c r="H74" i="9"/>
  <c r="H78" i="9"/>
  <c r="H82" i="9"/>
  <c r="H86" i="9"/>
  <c r="H90" i="9"/>
  <c r="H94" i="9"/>
  <c r="H98" i="9"/>
  <c r="H102" i="9"/>
  <c r="H106" i="9"/>
  <c r="H110" i="9"/>
  <c r="H114" i="9"/>
  <c r="H118" i="9"/>
  <c r="H122" i="9"/>
  <c r="H126" i="9"/>
  <c r="H130" i="9"/>
  <c r="H134" i="9"/>
  <c r="H138" i="9"/>
  <c r="H142" i="9"/>
  <c r="H146" i="9"/>
  <c r="H150" i="9"/>
  <c r="H154" i="9"/>
  <c r="H158" i="9"/>
  <c r="H162" i="9"/>
  <c r="H30" i="9"/>
  <c r="I6" i="9"/>
  <c r="I14" i="9"/>
  <c r="I18" i="9"/>
  <c r="I22" i="9"/>
  <c r="I26" i="9"/>
  <c r="I34" i="9"/>
  <c r="I25" i="9"/>
  <c r="H99" i="9"/>
  <c r="H103" i="9"/>
  <c r="H107" i="9"/>
  <c r="H111" i="9"/>
  <c r="H115" i="9"/>
  <c r="H119" i="9"/>
  <c r="H123" i="9"/>
  <c r="H127" i="9"/>
  <c r="H131" i="9"/>
  <c r="H135" i="9"/>
  <c r="H139" i="9"/>
  <c r="H143" i="9"/>
  <c r="H147" i="9"/>
  <c r="H151" i="9"/>
  <c r="H155" i="9"/>
  <c r="H159" i="9"/>
  <c r="H163" i="9"/>
  <c r="I17" i="9"/>
  <c r="H4" i="9"/>
  <c r="H8" i="9"/>
  <c r="H12" i="9"/>
  <c r="H16" i="9"/>
  <c r="H20" i="9"/>
  <c r="H24" i="9"/>
  <c r="H28" i="9"/>
  <c r="H32" i="9"/>
  <c r="H36" i="9"/>
  <c r="H40" i="9"/>
  <c r="H44" i="9"/>
  <c r="H48" i="9"/>
  <c r="H52" i="9"/>
  <c r="H56" i="9"/>
  <c r="H60" i="9"/>
  <c r="H64" i="9"/>
  <c r="H68" i="9"/>
  <c r="H72" i="9"/>
  <c r="H76" i="9"/>
  <c r="H80" i="9"/>
  <c r="H84" i="9"/>
  <c r="H88" i="9"/>
  <c r="H92" i="9"/>
  <c r="H96" i="9"/>
  <c r="H100" i="9"/>
  <c r="H104" i="9"/>
  <c r="H108" i="9"/>
  <c r="H112" i="9"/>
  <c r="H116" i="9"/>
  <c r="H120" i="9"/>
  <c r="H124" i="9"/>
  <c r="H128" i="9"/>
  <c r="H132" i="9"/>
  <c r="H136" i="9"/>
  <c r="H140" i="9"/>
  <c r="H144" i="9"/>
  <c r="H148" i="9"/>
  <c r="H152" i="9"/>
  <c r="H156" i="9"/>
  <c r="H160" i="9"/>
  <c r="H164" i="9"/>
</calcChain>
</file>

<file path=xl/sharedStrings.xml><?xml version="1.0" encoding="utf-8"?>
<sst xmlns="http://schemas.openxmlformats.org/spreadsheetml/2006/main" count="1738" uniqueCount="104">
  <si>
    <t>Prod</t>
  </si>
  <si>
    <t>Internet</t>
  </si>
  <si>
    <t>Row Labels</t>
  </si>
  <si>
    <t>Grand Total</t>
  </si>
  <si>
    <t>Store</t>
  </si>
  <si>
    <t>Phone</t>
  </si>
  <si>
    <t>Salesperson</t>
  </si>
  <si>
    <t>Regular mail</t>
  </si>
  <si>
    <t>Express mail</t>
  </si>
  <si>
    <t>Air mail</t>
  </si>
  <si>
    <t>Reseller</t>
  </si>
  <si>
    <t>Pickup</t>
  </si>
  <si>
    <t>Date</t>
  </si>
  <si>
    <t>Qty</t>
  </si>
  <si>
    <t>Unit cost</t>
  </si>
  <si>
    <t>Unit price</t>
  </si>
  <si>
    <t>Reusable water bottle</t>
  </si>
  <si>
    <t>Natural skincare</t>
  </si>
  <si>
    <t>Bamboo toothbrush</t>
  </si>
  <si>
    <t>Air purifier</t>
  </si>
  <si>
    <t>Bluetooth earbuds</t>
  </si>
  <si>
    <t>Organic socks</t>
  </si>
  <si>
    <t>Premium pet food</t>
  </si>
  <si>
    <t>Pet accessory</t>
  </si>
  <si>
    <t>Running hoodie</t>
  </si>
  <si>
    <t>Phone case</t>
  </si>
  <si>
    <t>Wireless charger</t>
  </si>
  <si>
    <t>Home decor</t>
  </si>
  <si>
    <t>LED lighting</t>
  </si>
  <si>
    <t>Recycled shopipng bag</t>
  </si>
  <si>
    <t>Massage gun</t>
  </si>
  <si>
    <t>Total Sale</t>
  </si>
  <si>
    <t>Margin</t>
  </si>
  <si>
    <t>Sum of Qty</t>
  </si>
  <si>
    <t>Sum of Total Sale</t>
  </si>
  <si>
    <t>Column Labels</t>
  </si>
  <si>
    <t>Channel</t>
  </si>
  <si>
    <t>2021</t>
  </si>
  <si>
    <t>2022</t>
  </si>
  <si>
    <t>Total Sales</t>
  </si>
  <si>
    <t>Cols</t>
  </si>
  <si>
    <t>Rows</t>
  </si>
  <si>
    <t>AVG Sale</t>
  </si>
  <si>
    <t>Delivery</t>
  </si>
  <si>
    <t>Units sold</t>
  </si>
  <si>
    <t>Total Margin</t>
  </si>
  <si>
    <t>Count of Date</t>
  </si>
  <si>
    <t>Total with Tax</t>
  </si>
  <si>
    <t>Offline</t>
  </si>
  <si>
    <t>Online</t>
  </si>
  <si>
    <t>Turnover</t>
  </si>
  <si>
    <t>2021 Total</t>
  </si>
  <si>
    <t>2022 Total</t>
  </si>
  <si>
    <t>Qtr1</t>
  </si>
  <si>
    <t>Qtr2</t>
  </si>
  <si>
    <t>Qtr3</t>
  </si>
  <si>
    <t>Qtr4</t>
  </si>
  <si>
    <t>janv</t>
  </si>
  <si>
    <t>févr</t>
  </si>
  <si>
    <t>mars</t>
  </si>
  <si>
    <t>avr</t>
  </si>
  <si>
    <t>mai</t>
  </si>
  <si>
    <t>juin</t>
  </si>
  <si>
    <t>juil</t>
  </si>
  <si>
    <t>août</t>
  </si>
  <si>
    <t>sept</t>
  </si>
  <si>
    <t>oct</t>
  </si>
  <si>
    <t>nov</t>
  </si>
  <si>
    <t>déc</t>
  </si>
  <si>
    <t>% of CY</t>
  </si>
  <si>
    <t>% of global</t>
  </si>
  <si>
    <t>Month</t>
  </si>
  <si>
    <t>Year</t>
  </si>
  <si>
    <t xml:space="preserve">  </t>
  </si>
  <si>
    <t xml:space="preserve">  Total Sale</t>
  </si>
  <si>
    <t>Ranking</t>
  </si>
  <si>
    <t>% of total</t>
  </si>
  <si>
    <t>vs January</t>
  </si>
  <si>
    <t>vs PM</t>
  </si>
  <si>
    <t>% diff PM</t>
  </si>
  <si>
    <t>Values</t>
  </si>
  <si>
    <t>Total  Qty</t>
  </si>
  <si>
    <t>vs PY  %</t>
  </si>
  <si>
    <t>YTD</t>
  </si>
  <si>
    <t>0-999</t>
  </si>
  <si>
    <t>1000-1999</t>
  </si>
  <si>
    <t>2000-2999</t>
  </si>
  <si>
    <t>3000-3999</t>
  </si>
  <si>
    <t>4000-4999</t>
  </si>
  <si>
    <t>5000-5999</t>
  </si>
  <si>
    <t>6000-6999</t>
  </si>
  <si>
    <t>7000-7999</t>
  </si>
  <si>
    <t>8000-8999</t>
  </si>
  <si>
    <t>9000-9999</t>
  </si>
  <si>
    <t>10000-10999</t>
  </si>
  <si>
    <t>11000-11999</t>
  </si>
  <si>
    <t>12000-12999</t>
  </si>
  <si>
    <t>13000-13999</t>
  </si>
  <si>
    <t>14000-14999</t>
  </si>
  <si>
    <t>15000-15999</t>
  </si>
  <si>
    <t>16000-16999</t>
  </si>
  <si>
    <t xml:space="preserve"> Margin</t>
  </si>
  <si>
    <t>Margin %</t>
  </si>
  <si>
    <t>Details for Total  Qty - Months (Date): Oct, Years (Date):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</si>
</sst>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_-* #,##0\ [$CHF-100C]_-;\-* #,##0\ [$CHF-100C]_-;_-* &quot;-&quot;??\ [$CHF-100C]_-;_-@_-"/>
  </numFmts>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bgColor theme="4"/>
      </patternFill>
    </fill>
  </fills>
  <borders count="5">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1">
    <xf numFmtId="0" fontId="0" fillId="0" borderId="0"/>
  </cellStyleXfs>
  <cellXfs count="20">
    <xf numFmtId="0" fontId="0" fillId="0" borderId="0" xfId="0"/>
    <xf numFmtId="0" fontId="1" fillId="2" borderId="1" xfId="0" applyFont="1" applyFill="1" applyBorder="1"/>
    <xf numFmtId="0" fontId="1" fillId="2" borderId="2" xfId="0" applyFont="1" applyFill="1" applyBorder="1"/>
    <xf numFmtId="14" fontId="0" fillId="0" borderId="1" xfId="0" applyNumberFormat="1" applyBorder="1"/>
    <xf numFmtId="0" fontId="0" fillId="0" borderId="2" xfId="0" applyBorder="1"/>
    <xf numFmtId="14" fontId="0" fillId="0" borderId="3" xfId="0" applyNumberFormat="1" applyBorder="1"/>
    <xf numFmtId="0" fontId="0" fillId="0" borderId="4" xfId="0" applyBorder="1"/>
    <xf numFmtId="0" fontId="0" fillId="0" borderId="0" xfId="0" pivotButton="1"/>
    <xf numFmtId="0" fontId="0" fillId="0" borderId="0" xfId="0" applyAlignment="1">
      <alignment horizontal="left"/>
    </xf>
    <xf numFmtId="0" fontId="0" fillId="0" borderId="2" xfId="0" applyFont="1" applyBorder="1"/>
    <xf numFmtId="0" fontId="0" fillId="0" borderId="0" xfId="0" applyBorder="1"/>
    <xf numFmtId="0" fontId="0" fillId="0" borderId="0" xfId="0" applyNumberFormat="1"/>
    <xf numFmtId="14" fontId="0" fillId="0" borderId="0" xfId="0" applyNumberFormat="1"/>
    <xf numFmtId="168" fontId="0" fillId="0" borderId="0" xfId="0" applyNumberFormat="1"/>
    <xf numFmtId="0" fontId="2" fillId="0" borderId="0" xfId="0" applyFont="1"/>
    <xf numFmtId="10" fontId="0" fillId="0" borderId="0" xfId="0" applyNumberFormat="1"/>
    <xf numFmtId="1" fontId="0" fillId="0" borderId="0" xfId="0" applyNumberFormat="1"/>
    <xf numFmtId="9" fontId="0" fillId="0" borderId="0" xfId="0" applyNumberFormat="1"/>
    <xf numFmtId="0" fontId="0" fillId="0" borderId="2" xfId="0" applyNumberFormat="1" applyBorder="1"/>
    <xf numFmtId="0" fontId="0" fillId="0" borderId="0" xfId="0" applyNumberFormat="1" applyBorder="1"/>
  </cellXfs>
  <cellStyles count="1">
    <cellStyle name="Normal" xfId="0" builtinId="0"/>
  </cellStyles>
  <dxfs count="62">
    <dxf>
      <numFmt numFmtId="19" formatCode="dd/mm/yyyy"/>
    </dxf>
    <dxf>
      <font>
        <color rgb="FF006100"/>
      </font>
      <fill>
        <patternFill>
          <bgColor theme="3" tint="0.89996032593768116"/>
        </patternFill>
      </fill>
    </dxf>
    <dxf>
      <font>
        <color rgb="FF006100"/>
      </font>
      <fill>
        <patternFill>
          <bgColor theme="7" tint="0.59996337778862885"/>
        </patternFill>
      </fill>
    </dxf>
    <dxf>
      <numFmt numFmtId="168" formatCode="_-* #,##0\ [$CHF-100C]_-;\-* #,##0\ [$CHF-100C]_-;_-* &quot;-&quot;??\ [$CHF-100C]_-;_-@_-"/>
    </dxf>
    <dxf>
      <numFmt numFmtId="14" formatCode="0.00%"/>
    </dxf>
    <dxf>
      <numFmt numFmtId="1" formatCode="0"/>
    </dxf>
    <dxf>
      <numFmt numFmtId="0" formatCode="General"/>
    </dxf>
    <dxf>
      <numFmt numFmtId="1" formatCode="0"/>
    </dxf>
    <dxf>
      <numFmt numFmtId="14" formatCode="0.00%"/>
    </dxf>
    <dxf>
      <numFmt numFmtId="1" formatCode="0"/>
    </dxf>
    <dxf>
      <numFmt numFmtId="14" formatCode="0.00%"/>
    </dxf>
    <dxf>
      <font>
        <color rgb="FF9C5700"/>
      </font>
      <fill>
        <patternFill>
          <bgColor rgb="FFFFEB9C"/>
        </patternFill>
      </fill>
    </dxf>
    <dxf>
      <font>
        <color rgb="FF9C0006"/>
      </font>
      <fill>
        <patternFill>
          <bgColor theme="8" tint="0.79998168889431442"/>
        </patternFill>
      </fill>
    </dxf>
    <dxf>
      <numFmt numFmtId="168" formatCode="_-* #,##0\ [$CHF-100C]_-;\-* #,##0\ [$CHF-100C]_-;_-* &quot;-&quot;??\ [$CHF-100C]_-;_-@_-"/>
    </dxf>
    <dxf>
      <font>
        <color rgb="FF9C5700"/>
      </font>
      <fill>
        <patternFill>
          <bgColor rgb="FFFFEB9C"/>
        </patternFill>
      </fill>
    </dxf>
    <dxf>
      <font>
        <color rgb="FF9C0006"/>
      </font>
      <fill>
        <patternFill>
          <bgColor theme="8" tint="0.79998168889431442"/>
        </patternFill>
      </fill>
    </dxf>
    <dxf>
      <numFmt numFmtId="168" formatCode="_-* #,##0\ [$CHF-100C]_-;\-* #,##0\ [$CHF-100C]_-;_-* &quot;-&quot;??\ [$CHF-100C]_-;_-@_-"/>
    </dxf>
    <dxf>
      <numFmt numFmtId="1" formatCode="0"/>
    </dxf>
    <dxf>
      <numFmt numFmtId="0" formatCode="General"/>
    </dxf>
    <dxf>
      <numFmt numFmtId="14" formatCode="0.00%"/>
    </dxf>
    <dxf>
      <numFmt numFmtId="13" formatCode="0%"/>
    </dxf>
    <dxf>
      <font>
        <color rgb="FF9C5700"/>
      </font>
      <fill>
        <patternFill>
          <bgColor rgb="FFFFEB9C"/>
        </patternFill>
      </fill>
    </dxf>
    <dxf>
      <font>
        <color rgb="FF9C0006"/>
      </font>
      <fill>
        <patternFill>
          <bgColor theme="8" tint="0.79998168889431442"/>
        </patternFill>
      </fill>
    </dxf>
    <dxf>
      <font>
        <color rgb="FF9C5700"/>
      </font>
      <fill>
        <patternFill>
          <bgColor rgb="FFFFEB9C"/>
        </patternFill>
      </fill>
    </dxf>
    <dxf>
      <font>
        <color rgb="FF9C0006"/>
      </font>
      <fill>
        <patternFill>
          <bgColor theme="8" tint="0.79998168889431442"/>
        </patternFill>
      </fill>
    </dxf>
    <dxf>
      <numFmt numFmtId="13" formatCode="0%"/>
    </dxf>
    <dxf>
      <numFmt numFmtId="14" formatCode="0.00%"/>
    </dxf>
    <dxf>
      <numFmt numFmtId="0" formatCode="General"/>
    </dxf>
    <dxf>
      <numFmt numFmtId="168" formatCode="_-* #,##0\ [$CHF-100C]_-;\-* #,##0\ [$CHF-100C]_-;_-* &quot;-&quot;??\ [$CHF-100C]_-;_-@_-"/>
    </dxf>
    <dxf>
      <numFmt numFmtId="1" formatCode="0"/>
    </dxf>
    <dxf>
      <numFmt numFmtId="1" formatCode="0"/>
    </dxf>
    <dxf>
      <numFmt numFmtId="1" formatCode="0"/>
    </dxf>
    <dxf>
      <numFmt numFmtId="14" formatCode="0.00%"/>
    </dxf>
    <dxf>
      <numFmt numFmtId="168" formatCode="_-* #,##0\ [$CHF-100C]_-;\-* #,##0\ [$CHF-100C]_-;_-* &quot;-&quot;??\ [$CHF-100C]_-;_-@_-"/>
    </dxf>
    <dxf>
      <numFmt numFmtId="168" formatCode="_-* #,##0\ [$CHF-100C]_-;\-* #,##0\ [$CHF-100C]_-;_-* &quot;-&quot;??\ [$CHF-100C]_-;_-@_-"/>
    </dxf>
    <dxf>
      <numFmt numFmtId="14" formatCode="0.00%"/>
    </dxf>
    <dxf>
      <numFmt numFmtId="14" formatCode="0.00%"/>
    </dxf>
    <dxf>
      <numFmt numFmtId="168" formatCode="_-* #,##0\ [$CHF-100C]_-;\-* #,##0\ [$CHF-100C]_-;_-* &quot;-&quot;??\ [$CHF-100C]_-;_-@_-"/>
    </dxf>
    <dxf>
      <numFmt numFmtId="168" formatCode="_-* #,##0\ [$CHF-100C]_-;\-* #,##0\ [$CHF-100C]_-;_-* &quot;-&quot;??\ [$CHF-100C]_-;_-@_-"/>
    </dxf>
    <dxf>
      <numFmt numFmtId="168" formatCode="_-* #,##0\ [$CHF-100C]_-;\-* #,##0\ [$CHF-100C]_-;_-* &quot;-&quot;??\ [$CHF-100C]_-;_-@_-"/>
    </dxf>
    <dxf>
      <numFmt numFmtId="168" formatCode="_-* #,##0\ [$CHF-100C]_-;\-* #,##0\ [$CHF-100C]_-;_-* &quot;-&quot;??\ [$CHF-100C]_-;_-@_-"/>
    </dxf>
    <dxf>
      <numFmt numFmtId="0" formatCode="General"/>
      <border diagonalUp="0" diagonalDown="0">
        <left/>
        <right/>
        <top style="thin">
          <color theme="4"/>
        </top>
        <bottom/>
        <vertical/>
        <horizontal/>
      </border>
    </dxf>
    <dxf>
      <numFmt numFmtId="0" formatCode="General"/>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numFmt numFmtId="19" formatCode="dd/mm/yyyy"/>
      <border diagonalUp="0" diagonalDown="0">
        <left style="thin">
          <color theme="4"/>
        </left>
        <right/>
        <top style="thin">
          <color theme="4"/>
        </top>
        <bottom/>
        <vertical/>
        <horizontal/>
      </border>
    </dxf>
    <dxf>
      <numFmt numFmtId="168" formatCode="_-* #,##0\ [$CHF-100C]_-;\-* #,##0\ [$CHF-100C]_-;_-* &quot;-&quot;??\ [$CHF-100C]_-;_-@_-"/>
    </dxf>
    <dxf>
      <numFmt numFmtId="168" formatCode="_-* #,##0\ [$CHF-100C]_-;\-* #,##0\ [$CHF-100C]_-;_-* &quot;-&quot;??\ [$CHF-100C]_-;_-@_-"/>
    </dxf>
    <dxf>
      <numFmt numFmtId="168" formatCode="_-* #,##0\ [$CHF-100C]_-;\-* #,##0\ [$CHF-100C]_-;_-* &quot;-&quot;??\ [$CHF-100C]_-;_-@_-"/>
    </dxf>
    <dxf>
      <numFmt numFmtId="0" formatCode="General"/>
      <border diagonalUp="0" diagonalDown="0">
        <left/>
        <right/>
        <top style="thin">
          <color theme="4"/>
        </top>
        <bottom/>
        <vertical/>
        <horizontal/>
      </border>
    </dxf>
    <dxf>
      <numFmt numFmtId="0" formatCode="General"/>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border diagonalUp="0" diagonalDown="0">
        <left/>
        <right/>
        <top style="thin">
          <color theme="4"/>
        </top>
        <bottom/>
        <vertical/>
        <horizontal/>
      </border>
    </dxf>
    <dxf>
      <numFmt numFmtId="19" formatCode="dd/mm/yyyy"/>
      <border diagonalUp="0" diagonalDown="0">
        <left style="thin">
          <color theme="4"/>
        </left>
        <right/>
        <top style="thin">
          <color theme="4"/>
        </top>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1/relationships/timelineCache" Target="timelineCaches/timelineCache1.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[PIVOT_TABLES_FINAL.xlsx]Grouped rows!pvt_GroupedBySales</c:name>
    <c:fmtId val="46"/>
  </c:pivotSource>
  <c:chart>
    <c:autoTitleDeleted val="0"/>
    <c:pivotFmts>
      <c:pivotFmt>
        <c:idx val="0"/>
        <c:spPr>
          <a:gradFill flip="none" rotWithShape="1">
            <a:gsLst>
              <a:gs pos="0">
                <a:schemeClr val="accent1">
                  <a:lumMod val="5000"/>
                  <a:lumOff val="95000"/>
                  <a:alpha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solidFill>
              <a:schemeClr val="tx2"/>
            </a:solid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'Grouped rows'!$B$1</c:f>
              <c:strCache>
                <c:ptCount val="1"/>
                <c:pt idx="0">
                  <c:v> Margin</c:v>
                </c:pt>
              </c:strCache>
            </c:strRef>
          </c:tx>
          <c:spPr>
            <a:gradFill flip="none" rotWithShape="1">
              <a:gsLst>
                <a:gs pos="0">
                  <a:schemeClr val="accent1">
                    <a:lumMod val="5000"/>
                    <a:lumOff val="95000"/>
                    <a:alpha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a:solidFill>
                <a:schemeClr val="tx2"/>
              </a:solid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'Grouped rows'!$A$2:$A$19</c:f>
              <c:strCache>
                <c:ptCount val="17"/>
                <c:pt idx="0">
                  <c:v>0-999</c:v>
                </c:pt>
                <c:pt idx="1">
                  <c:v>1000-1999</c:v>
                </c:pt>
                <c:pt idx="2">
                  <c:v>2000-2999</c:v>
                </c:pt>
                <c:pt idx="3">
                  <c:v>3000-3999</c:v>
                </c:pt>
                <c:pt idx="4">
                  <c:v>4000-4999</c:v>
                </c:pt>
                <c:pt idx="5">
                  <c:v>5000-5999</c:v>
                </c:pt>
                <c:pt idx="6">
                  <c:v>6000-6999</c:v>
                </c:pt>
                <c:pt idx="7">
                  <c:v>7000-7999</c:v>
                </c:pt>
                <c:pt idx="8">
                  <c:v>8000-8999</c:v>
                </c:pt>
                <c:pt idx="9">
                  <c:v>9000-9999</c:v>
                </c:pt>
                <c:pt idx="10">
                  <c:v>10000-10999</c:v>
                </c:pt>
                <c:pt idx="11">
                  <c:v>11000-11999</c:v>
                </c:pt>
                <c:pt idx="12">
                  <c:v>12000-12999</c:v>
                </c:pt>
                <c:pt idx="13">
                  <c:v>13000-13999</c:v>
                </c:pt>
                <c:pt idx="14">
                  <c:v>14000-14999</c:v>
                </c:pt>
                <c:pt idx="15">
                  <c:v>15000-15999</c:v>
                </c:pt>
                <c:pt idx="16">
                  <c:v>16000-16999</c:v>
                </c:pt>
              </c:strCache>
            </c:strRef>
          </c:cat>
          <c:val>
            <c:numRef>
              <c:f>'Grouped rows'!$B$2:$B$19</c:f>
              <c:numCache>
                <c:formatCode>_-* #,##0\ [$CHF-100C]_-;\-* #,##0\ [$CHF-100C]_-;_-* "-"??\ [$CHF-100C]_-;_-@_-</c:formatCode>
                <c:ptCount val="17"/>
                <c:pt idx="0">
                  <c:v>1643</c:v>
                </c:pt>
                <c:pt idx="1">
                  <c:v>12073</c:v>
                </c:pt>
                <c:pt idx="2">
                  <c:v>19212</c:v>
                </c:pt>
                <c:pt idx="3">
                  <c:v>29042</c:v>
                </c:pt>
                <c:pt idx="4">
                  <c:v>36673</c:v>
                </c:pt>
                <c:pt idx="5">
                  <c:v>37242</c:v>
                </c:pt>
                <c:pt idx="6">
                  <c:v>30397</c:v>
                </c:pt>
                <c:pt idx="7">
                  <c:v>33706</c:v>
                </c:pt>
                <c:pt idx="8">
                  <c:v>22404</c:v>
                </c:pt>
                <c:pt idx="9">
                  <c:v>22000</c:v>
                </c:pt>
                <c:pt idx="10">
                  <c:v>14963</c:v>
                </c:pt>
                <c:pt idx="11">
                  <c:v>23005</c:v>
                </c:pt>
                <c:pt idx="12">
                  <c:v>3496</c:v>
                </c:pt>
                <c:pt idx="13">
                  <c:v>19150</c:v>
                </c:pt>
                <c:pt idx="14">
                  <c:v>8022</c:v>
                </c:pt>
                <c:pt idx="15">
                  <c:v>13348</c:v>
                </c:pt>
                <c:pt idx="16">
                  <c:v>4584</c:v>
                </c:pt>
              </c:numCache>
            </c:numRef>
          </c:val>
          <c:extLst>
            <c:ext xmlns:c16="http://schemas.microsoft.com/office/drawing/2014/chart" uri="{C3380CC4-5D6E-409C-BE32-E72D297353CC}">
              <c16:uniqueId val="{00000000-6718-424E-A2E1-B83133A52DCA}"/>
            </c:ext>
          </c:extLst>
        </c:ser>
        <c:ser>
          <c:idx val="1"/>
          <c:order val="1"/>
          <c:tx>
            <c:strRef>
              <c:f>'Grouped rows'!$C$1</c:f>
              <c:strCache>
                <c:ptCount val="1"/>
                <c:pt idx="0">
                  <c:v>Margin %</c:v>
                </c:pt>
              </c:strCache>
            </c:strRef>
          </c:tx>
          <c:spPr>
            <a:solidFill>
              <a:schemeClr val="accent2"/>
            </a:solidFill>
            <a:ln>
              <a:noFill/>
            </a:ln>
            <a:effectLst/>
          </c:spPr>
          <c:invertIfNegative val="0"/>
          <c:cat>
            <c:strRef>
              <c:f>'Grouped rows'!$A$2:$A$19</c:f>
              <c:strCache>
                <c:ptCount val="17"/>
                <c:pt idx="0">
                  <c:v>0-999</c:v>
                </c:pt>
                <c:pt idx="1">
                  <c:v>1000-1999</c:v>
                </c:pt>
                <c:pt idx="2">
                  <c:v>2000-2999</c:v>
                </c:pt>
                <c:pt idx="3">
                  <c:v>3000-3999</c:v>
                </c:pt>
                <c:pt idx="4">
                  <c:v>4000-4999</c:v>
                </c:pt>
                <c:pt idx="5">
                  <c:v>5000-5999</c:v>
                </c:pt>
                <c:pt idx="6">
                  <c:v>6000-6999</c:v>
                </c:pt>
                <c:pt idx="7">
                  <c:v>7000-7999</c:v>
                </c:pt>
                <c:pt idx="8">
                  <c:v>8000-8999</c:v>
                </c:pt>
                <c:pt idx="9">
                  <c:v>9000-9999</c:v>
                </c:pt>
                <c:pt idx="10">
                  <c:v>10000-10999</c:v>
                </c:pt>
                <c:pt idx="11">
                  <c:v>11000-11999</c:v>
                </c:pt>
                <c:pt idx="12">
                  <c:v>12000-12999</c:v>
                </c:pt>
                <c:pt idx="13">
                  <c:v>13000-13999</c:v>
                </c:pt>
                <c:pt idx="14">
                  <c:v>14000-14999</c:v>
                </c:pt>
                <c:pt idx="15">
                  <c:v>15000-15999</c:v>
                </c:pt>
                <c:pt idx="16">
                  <c:v>16000-16999</c:v>
                </c:pt>
              </c:strCache>
            </c:strRef>
          </c:cat>
          <c:val>
            <c:numRef>
              <c:f>'Grouped rows'!$C$2:$C$19</c:f>
              <c:numCache>
                <c:formatCode>0.00%</c:formatCode>
                <c:ptCount val="17"/>
                <c:pt idx="0">
                  <c:v>4.96434614454919E-3</c:v>
                </c:pt>
                <c:pt idx="1">
                  <c:v>3.6478728547256464E-2</c:v>
                </c:pt>
                <c:pt idx="2">
                  <c:v>5.8049311094996371E-2</c:v>
                </c:pt>
                <c:pt idx="3">
                  <c:v>8.7750785593425182E-2</c:v>
                </c:pt>
                <c:pt idx="4">
                  <c:v>0.11080795262267343</c:v>
                </c:pt>
                <c:pt idx="5">
                  <c:v>0.11252719361856418</c:v>
                </c:pt>
                <c:pt idx="6">
                  <c:v>9.1844935943920722E-2</c:v>
                </c:pt>
                <c:pt idx="7">
                  <c:v>0.10184312303601643</c:v>
                </c:pt>
                <c:pt idx="8">
                  <c:v>6.7693981145757795E-2</c:v>
                </c:pt>
                <c:pt idx="9">
                  <c:v>6.6473289823543627E-2</c:v>
                </c:pt>
                <c:pt idx="10">
                  <c:v>4.5210901619531063E-2</c:v>
                </c:pt>
                <c:pt idx="11">
                  <c:v>6.9509910563210056E-2</c:v>
                </c:pt>
                <c:pt idx="12">
                  <c:v>1.0563210055595842E-2</c:v>
                </c:pt>
                <c:pt idx="13">
                  <c:v>5.7861977278220934E-2</c:v>
                </c:pt>
                <c:pt idx="14">
                  <c:v>2.4238578680203047E-2</c:v>
                </c:pt>
                <c:pt idx="15">
                  <c:v>4.0331157843848199E-2</c:v>
                </c:pt>
                <c:pt idx="16">
                  <c:v>1.3850616388687455E-2</c:v>
                </c:pt>
              </c:numCache>
            </c:numRef>
          </c:val>
          <c:extLst>
            <c:ext xmlns:c16="http://schemas.microsoft.com/office/drawing/2014/chart" uri="{C3380CC4-5D6E-409C-BE32-E72D297353CC}">
              <c16:uniqueId val="{00000001-6718-424E-A2E1-B83133A52DCA}"/>
            </c:ext>
          </c:extLst>
        </c:ser>
        <c:dLbls>
          <c:showLegendKey val="0"/>
          <c:showVal val="0"/>
          <c:showCatName val="0"/>
          <c:showSerName val="0"/>
          <c:showPercent val="0"/>
          <c:showBubbleSize val="0"/>
        </c:dLbls>
        <c:gapWidth val="50"/>
        <c:axId val="532264448"/>
        <c:axId val="532264928"/>
      </c:barChart>
      <c:catAx>
        <c:axId val="53226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264928"/>
        <c:crosses val="autoZero"/>
        <c:auto val="1"/>
        <c:lblAlgn val="ctr"/>
        <c:lblOffset val="100"/>
        <c:noMultiLvlLbl val="0"/>
      </c:catAx>
      <c:valAx>
        <c:axId val="532264928"/>
        <c:scaling>
          <c:orientation val="minMax"/>
        </c:scaling>
        <c:delete val="0"/>
        <c:axPos val="l"/>
        <c:numFmt formatCode="_-* #,##0\ [$CHF-100C]_-;\-* #,##0\ [$CHF-100C]_-;_-* &quot;-&quot;??\ [$CHF-100C]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264448"/>
        <c:crosses val="autoZero"/>
        <c:crossBetween val="between"/>
      </c:valAx>
      <c:spPr>
        <a:noFill/>
        <a:ln w="127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[PIVOT_TABLES_FINAL.xlsx]YTD!pvt_YTD</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YTD quantities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381362129864472E-2"/>
          <c:y val="0.1306560805145216"/>
          <c:w val="0.92386537693956905"/>
          <c:h val="0.7879057353892821"/>
        </c:manualLayout>
      </c:layout>
      <c:lineChart>
        <c:grouping val="standard"/>
        <c:varyColors val="0"/>
        <c:ser>
          <c:idx val="0"/>
          <c:order val="0"/>
          <c:tx>
            <c:strRef>
              <c:f>YTD!$B$1:$B$2</c:f>
              <c:strCache>
                <c:ptCount val="1"/>
                <c:pt idx="0">
                  <c:v>2021</c:v>
                </c:pt>
              </c:strCache>
            </c:strRef>
          </c:tx>
          <c:spPr>
            <a:ln w="28575" cap="rnd">
              <a:solidFill>
                <a:schemeClr val="accent1"/>
              </a:solidFill>
              <a:round/>
            </a:ln>
            <a:effectLst/>
          </c:spPr>
          <c:marker>
            <c:symbol val="none"/>
          </c:marker>
          <c:cat>
            <c:strRef>
              <c:f>YTD!$A$3:$A$15</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YTD!$B$3:$B$15</c:f>
              <c:numCache>
                <c:formatCode>General</c:formatCode>
                <c:ptCount val="12"/>
                <c:pt idx="0">
                  <c:v>35</c:v>
                </c:pt>
                <c:pt idx="1">
                  <c:v>144</c:v>
                </c:pt>
                <c:pt idx="2">
                  <c:v>265</c:v>
                </c:pt>
                <c:pt idx="3">
                  <c:v>337</c:v>
                </c:pt>
                <c:pt idx="4">
                  <c:v>433</c:v>
                </c:pt>
                <c:pt idx="5">
                  <c:v>566</c:v>
                </c:pt>
                <c:pt idx="6">
                  <c:v>603</c:v>
                </c:pt>
                <c:pt idx="7">
                  <c:v>642</c:v>
                </c:pt>
                <c:pt idx="8">
                  <c:v>686</c:v>
                </c:pt>
                <c:pt idx="9">
                  <c:v>706</c:v>
                </c:pt>
                <c:pt idx="10">
                  <c:v>793</c:v>
                </c:pt>
                <c:pt idx="11">
                  <c:v>844</c:v>
                </c:pt>
              </c:numCache>
            </c:numRef>
          </c:val>
          <c:smooth val="1"/>
          <c:extLst>
            <c:ext xmlns:c16="http://schemas.microsoft.com/office/drawing/2014/chart" uri="{C3380CC4-5D6E-409C-BE32-E72D297353CC}">
              <c16:uniqueId val="{00000000-FDF4-4CBA-AE17-5430C76F26AF}"/>
            </c:ext>
          </c:extLst>
        </c:ser>
        <c:ser>
          <c:idx val="1"/>
          <c:order val="1"/>
          <c:tx>
            <c:strRef>
              <c:f>YTD!$C$1:$C$2</c:f>
              <c:strCache>
                <c:ptCount val="1"/>
                <c:pt idx="0">
                  <c:v>2022</c:v>
                </c:pt>
              </c:strCache>
            </c:strRef>
          </c:tx>
          <c:spPr>
            <a:ln w="28575" cap="rnd">
              <a:solidFill>
                <a:schemeClr val="accent2"/>
              </a:solidFill>
              <a:round/>
            </a:ln>
            <a:effectLst/>
          </c:spPr>
          <c:marker>
            <c:symbol val="none"/>
          </c:marker>
          <c:cat>
            <c:strRef>
              <c:f>YTD!$A$3:$A$15</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YTD!$C$3:$C$15</c:f>
              <c:numCache>
                <c:formatCode>General</c:formatCode>
                <c:ptCount val="12"/>
                <c:pt idx="0">
                  <c:v>92</c:v>
                </c:pt>
                <c:pt idx="1">
                  <c:v>217</c:v>
                </c:pt>
                <c:pt idx="2">
                  <c:v>357</c:v>
                </c:pt>
                <c:pt idx="3">
                  <c:v>503</c:v>
                </c:pt>
                <c:pt idx="4">
                  <c:v>648</c:v>
                </c:pt>
                <c:pt idx="5">
                  <c:v>785</c:v>
                </c:pt>
                <c:pt idx="6">
                  <c:v>937</c:v>
                </c:pt>
                <c:pt idx="7">
                  <c:v>1119</c:v>
                </c:pt>
                <c:pt idx="8">
                  <c:v>1158</c:v>
                </c:pt>
                <c:pt idx="9">
                  <c:v>1343</c:v>
                </c:pt>
                <c:pt idx="10">
                  <c:v>1484</c:v>
                </c:pt>
                <c:pt idx="11">
                  <c:v>1659</c:v>
                </c:pt>
              </c:numCache>
            </c:numRef>
          </c:val>
          <c:smooth val="0"/>
          <c:extLst>
            <c:ext xmlns:c16="http://schemas.microsoft.com/office/drawing/2014/chart" uri="{C3380CC4-5D6E-409C-BE32-E72D297353CC}">
              <c16:uniqueId val="{00000002-FDF4-4CBA-AE17-5430C76F26AF}"/>
            </c:ext>
          </c:extLst>
        </c:ser>
        <c:dLbls>
          <c:showLegendKey val="0"/>
          <c:showVal val="0"/>
          <c:showCatName val="0"/>
          <c:showSerName val="0"/>
          <c:showPercent val="0"/>
          <c:showBubbleSize val="0"/>
        </c:dLbls>
        <c:smooth val="0"/>
        <c:axId val="1108221807"/>
        <c:axId val="1108223727"/>
      </c:lineChart>
      <c:catAx>
        <c:axId val="1108221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223727"/>
        <c:crosses val="autoZero"/>
        <c:auto val="1"/>
        <c:lblAlgn val="ctr"/>
        <c:lblOffset val="100"/>
        <c:noMultiLvlLbl val="0"/>
      </c:catAx>
      <c:valAx>
        <c:axId val="1108223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221807"/>
        <c:crosses val="autoZero"/>
        <c:crossBetween val="between"/>
      </c:valAx>
      <c:spPr>
        <a:noFill/>
        <a:ln>
          <a:noFill/>
        </a:ln>
        <a:effectLst/>
      </c:spPr>
    </c:plotArea>
    <c:legend>
      <c:legendPos val="r"/>
      <c:layout>
        <c:manualLayout>
          <c:xMode val="edge"/>
          <c:yMode val="edge"/>
          <c:x val="7.5792476016925889E-2"/>
          <c:y val="3.7834103005842052E-4"/>
          <c:w val="0.23589229134144199"/>
          <c:h val="0.118891172310762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[PIVOT_TABLES_FINAL.xlsx]YoY!pvt_YoY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YOY</a:t>
            </a:r>
            <a:r>
              <a:rPr lang="en-US" baseline="0"/>
              <a:t> Comparison 2021 vs 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25000"/>
            </a:schemeClr>
          </a:solidFill>
          <a:ln w="15875">
            <a:solidFill>
              <a:schemeClr val="tx2"/>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5"/>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0193EE71-9276-4ED4-8D98-EA0339C1EC9F}"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C15A67C9-CF2B-4B2B-AFF4-23C3D5F65EB7}"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BC79056A-26E7-4B03-AB93-53BE2465D3E8}"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8CFB7DF7-F904-497A-B3AA-41CA5C2306B7}"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5836136F-970C-4924-B571-3004622301AE}"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EADC68E1-5FDB-4023-9C11-FAAF74056DF9}"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3E7D8AD6-6A48-4A15-995D-38E4927AE854}"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836C8686-1D01-4673-AF59-16814D3E86C1}"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5"/>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FF12BDE2-6430-4DB7-A98D-C6881D83BE63}"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A958D0DE-8C40-44E0-B9F8-154CD1837DB7}"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069D6040-F5F4-466A-8A9E-929155C10DB0}"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solidFill>
            <a:schemeClr val="accent1">
              <a:alpha val="25000"/>
            </a:schemeClr>
          </a:solidFill>
          <a:ln w="15875">
            <a:solidFill>
              <a:schemeClr val="tx2"/>
            </a:solidFill>
          </a:ln>
          <a:effectLst/>
        </c:spPr>
        <c:dLbl>
          <c:idx val="0"/>
          <c:tx>
            <c:rich>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fld id="{8F18EC3A-4CCD-4207-935F-5663FA9504C9}" type="CELLRANGE">
                  <a:rPr lang="en-US"/>
                  <a:pPr>
                    <a:defRPr sz="1050" b="1"/>
                  </a:pPr>
                  <a:t>[CELLRANGE]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24038668714659E-2"/>
          <c:y val="5.0925801545354456E-2"/>
          <c:w val="0.90520215070203602"/>
          <c:h val="0.84204505686789155"/>
        </c:manualLayout>
      </c:layout>
      <c:barChart>
        <c:barDir val="col"/>
        <c:grouping val="clustered"/>
        <c:varyColors val="0"/>
        <c:ser>
          <c:idx val="0"/>
          <c:order val="0"/>
          <c:tx>
            <c:strRef>
              <c:f>YoY!$E$6:$E$17</c:f>
              <c:strCache>
                <c:ptCount val="1"/>
                <c:pt idx="0">
                  <c:v>2021 - Total  Qty</c:v>
                </c:pt>
              </c:strCache>
            </c:strRef>
          </c:tx>
          <c:spPr>
            <a:solidFill>
              <a:schemeClr val="bg1">
                <a:lumMod val="75000"/>
              </a:schemeClr>
            </a:solidFill>
            <a:ln>
              <a:noFill/>
            </a:ln>
            <a:effectLst/>
          </c:spPr>
          <c:invertIfNegative val="0"/>
          <c:cat>
            <c:strRef>
              <c:f>YoY!$E$6:$E$17</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YoY!$E$6:$E$17</c:f>
              <c:numCache>
                <c:formatCode>0</c:formatCode>
                <c:ptCount val="12"/>
                <c:pt idx="0">
                  <c:v>35</c:v>
                </c:pt>
                <c:pt idx="1">
                  <c:v>109</c:v>
                </c:pt>
                <c:pt idx="2">
                  <c:v>121</c:v>
                </c:pt>
                <c:pt idx="3">
                  <c:v>72</c:v>
                </c:pt>
                <c:pt idx="4">
                  <c:v>96</c:v>
                </c:pt>
                <c:pt idx="5">
                  <c:v>133</c:v>
                </c:pt>
                <c:pt idx="6">
                  <c:v>37</c:v>
                </c:pt>
                <c:pt idx="7">
                  <c:v>39</c:v>
                </c:pt>
                <c:pt idx="8">
                  <c:v>44</c:v>
                </c:pt>
                <c:pt idx="9">
                  <c:v>20</c:v>
                </c:pt>
                <c:pt idx="10">
                  <c:v>87</c:v>
                </c:pt>
                <c:pt idx="11">
                  <c:v>51</c:v>
                </c:pt>
              </c:numCache>
            </c:numRef>
          </c:val>
          <c:extLst>
            <c:ext xmlns:c16="http://schemas.microsoft.com/office/drawing/2014/chart" uri="{C3380CC4-5D6E-409C-BE32-E72D297353CC}">
              <c16:uniqueId val="{00000000-DC1A-486A-8A76-7F4562B4F298}"/>
            </c:ext>
          </c:extLst>
        </c:ser>
        <c:ser>
          <c:idx val="2"/>
          <c:order val="2"/>
          <c:tx>
            <c:strRef>
              <c:f>YoY!$E$6:$E$17</c:f>
              <c:strCache>
                <c:ptCount val="1"/>
                <c:pt idx="0">
                  <c:v>2022 - Total  Qty</c:v>
                </c:pt>
              </c:strCache>
            </c:strRef>
          </c:tx>
          <c:spPr>
            <a:solidFill>
              <a:schemeClr val="accent1">
                <a:alpha val="25000"/>
              </a:schemeClr>
            </a:solidFill>
            <a:ln w="15875">
              <a:solidFill>
                <a:schemeClr val="tx2"/>
              </a:solidFill>
            </a:ln>
            <a:effectLst/>
          </c:spPr>
          <c:invertIfNegative val="0"/>
          <c:dLbls>
            <c:dLbl>
              <c:idx val="0"/>
              <c:tx>
                <c:rich>
                  <a:bodyPr/>
                  <a:lstStyle/>
                  <a:p>
                    <a:fld id="{0193EE71-9276-4ED4-8D98-EA0339C1EC9F}"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C1A-486A-8A76-7F4562B4F298}"/>
                </c:ext>
              </c:extLst>
            </c:dLbl>
            <c:dLbl>
              <c:idx val="1"/>
              <c:tx>
                <c:rich>
                  <a:bodyPr/>
                  <a:lstStyle/>
                  <a:p>
                    <a:fld id="{C15A67C9-CF2B-4B2B-AFF4-23C3D5F65EB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C1A-486A-8A76-7F4562B4F298}"/>
                </c:ext>
              </c:extLst>
            </c:dLbl>
            <c:dLbl>
              <c:idx val="2"/>
              <c:tx>
                <c:rich>
                  <a:bodyPr/>
                  <a:lstStyle/>
                  <a:p>
                    <a:fld id="{BC79056A-26E7-4B03-AB93-53BE2465D3E8}"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C1A-486A-8A76-7F4562B4F298}"/>
                </c:ext>
              </c:extLst>
            </c:dLbl>
            <c:dLbl>
              <c:idx val="3"/>
              <c:tx>
                <c:rich>
                  <a:bodyPr/>
                  <a:lstStyle/>
                  <a:p>
                    <a:fld id="{8CFB7DF7-F904-497A-B3AA-41CA5C2306B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C1A-486A-8A76-7F4562B4F298}"/>
                </c:ext>
              </c:extLst>
            </c:dLbl>
            <c:dLbl>
              <c:idx val="4"/>
              <c:tx>
                <c:rich>
                  <a:bodyPr/>
                  <a:lstStyle/>
                  <a:p>
                    <a:fld id="{5836136F-970C-4924-B571-3004622301AE}"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C1A-486A-8A76-7F4562B4F298}"/>
                </c:ext>
              </c:extLst>
            </c:dLbl>
            <c:dLbl>
              <c:idx val="5"/>
              <c:tx>
                <c:rich>
                  <a:bodyPr/>
                  <a:lstStyle/>
                  <a:p>
                    <a:fld id="{EADC68E1-5FDB-4023-9C11-FAAF74056DF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C1A-486A-8A76-7F4562B4F298}"/>
                </c:ext>
              </c:extLst>
            </c:dLbl>
            <c:dLbl>
              <c:idx val="6"/>
              <c:tx>
                <c:rich>
                  <a:bodyPr/>
                  <a:lstStyle/>
                  <a:p>
                    <a:fld id="{3E7D8AD6-6A48-4A15-995D-38E4927AE854}"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C1A-486A-8A76-7F4562B4F298}"/>
                </c:ext>
              </c:extLst>
            </c:dLbl>
            <c:dLbl>
              <c:idx val="7"/>
              <c:tx>
                <c:rich>
                  <a:bodyPr/>
                  <a:lstStyle/>
                  <a:p>
                    <a:fld id="{836C8686-1D01-4673-AF59-16814D3E86C1}"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DC1A-486A-8A76-7F4562B4F298}"/>
                </c:ext>
              </c:extLst>
            </c:dLbl>
            <c:dLbl>
              <c:idx val="8"/>
              <c:tx>
                <c:rich>
                  <a:bodyPr/>
                  <a:lstStyle/>
                  <a:p>
                    <a:fld id="{FF12BDE2-6430-4DB7-A98D-C6881D83BE63}"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DC1A-486A-8A76-7F4562B4F298}"/>
                </c:ext>
              </c:extLst>
            </c:dLbl>
            <c:dLbl>
              <c:idx val="9"/>
              <c:tx>
                <c:rich>
                  <a:bodyPr/>
                  <a:lstStyle/>
                  <a:p>
                    <a:fld id="{A958D0DE-8C40-44E0-B9F8-154CD1837DB7}"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C1A-486A-8A76-7F4562B4F298}"/>
                </c:ext>
              </c:extLst>
            </c:dLbl>
            <c:dLbl>
              <c:idx val="10"/>
              <c:tx>
                <c:rich>
                  <a:bodyPr/>
                  <a:lstStyle/>
                  <a:p>
                    <a:fld id="{069D6040-F5F4-466A-8A9E-929155C10DB0}"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DC1A-486A-8A76-7F4562B4F298}"/>
                </c:ext>
              </c:extLst>
            </c:dLbl>
            <c:dLbl>
              <c:idx val="11"/>
              <c:tx>
                <c:rich>
                  <a:bodyPr/>
                  <a:lstStyle/>
                  <a:p>
                    <a:fld id="{8F18EC3A-4CCD-4207-935F-5663FA9504C9}" type="CELLRANGE">
                      <a:rPr lang="en-US"/>
                      <a:pPr/>
                      <a:t>[CELLRANGE]</a:t>
                    </a:fld>
                    <a:endParaRPr lang="en-US"/>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DC1A-486A-8A76-7F4562B4F298}"/>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YoY!$E$6:$E$17</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YoY!$E$6:$E$17</c:f>
              <c:numCache>
                <c:formatCode>0</c:formatCode>
                <c:ptCount val="12"/>
                <c:pt idx="0">
                  <c:v>92</c:v>
                </c:pt>
                <c:pt idx="1">
                  <c:v>125</c:v>
                </c:pt>
                <c:pt idx="2">
                  <c:v>140</c:v>
                </c:pt>
                <c:pt idx="3">
                  <c:v>146</c:v>
                </c:pt>
                <c:pt idx="4">
                  <c:v>145</c:v>
                </c:pt>
                <c:pt idx="5">
                  <c:v>137</c:v>
                </c:pt>
                <c:pt idx="6">
                  <c:v>152</c:v>
                </c:pt>
                <c:pt idx="7">
                  <c:v>182</c:v>
                </c:pt>
                <c:pt idx="8">
                  <c:v>39</c:v>
                </c:pt>
                <c:pt idx="9">
                  <c:v>185</c:v>
                </c:pt>
                <c:pt idx="10">
                  <c:v>141</c:v>
                </c:pt>
                <c:pt idx="11">
                  <c:v>175</c:v>
                </c:pt>
              </c:numCache>
            </c:numRef>
          </c:val>
          <c:extLst>
            <c:ext xmlns:c15="http://schemas.microsoft.com/office/drawing/2012/chart" uri="{02D57815-91ED-43cb-92C2-25804820EDAC}">
              <c15:datalabelsRange>
                <c15:f>YoY!$E$6:$E$17</c15:f>
                <c15:dlblRangeCache>
                  <c:ptCount val="12"/>
                  <c:pt idx="0">
                    <c:v>162.86%</c:v>
                  </c:pt>
                  <c:pt idx="1">
                    <c:v>14.68%</c:v>
                  </c:pt>
                  <c:pt idx="2">
                    <c:v>15.70%</c:v>
                  </c:pt>
                  <c:pt idx="3">
                    <c:v>102.78%</c:v>
                  </c:pt>
                  <c:pt idx="4">
                    <c:v>51.04%</c:v>
                  </c:pt>
                  <c:pt idx="5">
                    <c:v>3.01%</c:v>
                  </c:pt>
                  <c:pt idx="6">
                    <c:v>310.81%</c:v>
                  </c:pt>
                  <c:pt idx="7">
                    <c:v>366.67%</c:v>
                  </c:pt>
                  <c:pt idx="8">
                    <c:v>-11.36%</c:v>
                  </c:pt>
                  <c:pt idx="9">
                    <c:v>825.00%</c:v>
                  </c:pt>
                  <c:pt idx="10">
                    <c:v>62.07%</c:v>
                  </c:pt>
                  <c:pt idx="11">
                    <c:v>243.14%</c:v>
                  </c:pt>
                </c15:dlblRangeCache>
              </c15:datalabelsRange>
            </c:ext>
            <c:ext xmlns:c16="http://schemas.microsoft.com/office/drawing/2014/chart" uri="{C3380CC4-5D6E-409C-BE32-E72D297353CC}">
              <c16:uniqueId val="{00000007-DC1A-486A-8A76-7F4562B4F298}"/>
            </c:ext>
          </c:extLst>
        </c:ser>
        <c:ser>
          <c:idx val="1"/>
          <c:order val="1"/>
          <c:tx>
            <c:strRef>
              <c:f>YoY!$E$6:$E$17</c:f>
              <c:strCache>
                <c:ptCount val="1"/>
                <c:pt idx="0">
                  <c:v>2021 - vs PY  %</c:v>
                </c:pt>
              </c:strCache>
            </c:strRef>
          </c:tx>
          <c:spPr>
            <a:solidFill>
              <a:schemeClr val="accent2"/>
            </a:solidFill>
            <a:ln>
              <a:noFill/>
            </a:ln>
            <a:effectLst/>
          </c:spPr>
          <c:invertIfNegative val="0"/>
          <c:cat>
            <c:strRef>
              <c:f>YoY!$E$6:$E$17</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YoY!$E$6:$E$17</c:f>
              <c:numCache>
                <c:formatCode>0.00%</c:formatCode>
                <c:ptCount val="12"/>
              </c:numCache>
            </c:numRef>
          </c:val>
          <c:extLst>
            <c:ext xmlns:c16="http://schemas.microsoft.com/office/drawing/2014/chart" uri="{C3380CC4-5D6E-409C-BE32-E72D297353CC}">
              <c16:uniqueId val="{00000001-DC1A-486A-8A76-7F4562B4F298}"/>
            </c:ext>
          </c:extLst>
        </c:ser>
        <c:ser>
          <c:idx val="3"/>
          <c:order val="3"/>
          <c:tx>
            <c:strRef>
              <c:f>YoY!$E$6:$E$17</c:f>
              <c:strCache>
                <c:ptCount val="1"/>
                <c:pt idx="0">
                  <c:v>2022 - vs PY  %</c:v>
                </c:pt>
              </c:strCache>
            </c:strRef>
          </c:tx>
          <c:spPr>
            <a:noFill/>
            <a:ln>
              <a:noFill/>
            </a:ln>
            <a:effectLst/>
          </c:spPr>
          <c:invertIfNegative val="0"/>
          <c:cat>
            <c:strRef>
              <c:f>YoY!$E$6:$E$17</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YoY!$E$6:$E$17</c:f>
              <c:numCache>
                <c:formatCode>0.00%</c:formatCode>
                <c:ptCount val="12"/>
                <c:pt idx="0">
                  <c:v>1.6285714285714286</c:v>
                </c:pt>
                <c:pt idx="1">
                  <c:v>0.14678899082568808</c:v>
                </c:pt>
                <c:pt idx="2">
                  <c:v>0.15702479338842976</c:v>
                </c:pt>
                <c:pt idx="3">
                  <c:v>1.0277777777777777</c:v>
                </c:pt>
                <c:pt idx="4">
                  <c:v>0.51041666666666663</c:v>
                </c:pt>
                <c:pt idx="5">
                  <c:v>3.007518796992481E-2</c:v>
                </c:pt>
                <c:pt idx="6">
                  <c:v>3.1081081081081079</c:v>
                </c:pt>
                <c:pt idx="7">
                  <c:v>3.6666666666666665</c:v>
                </c:pt>
                <c:pt idx="8">
                  <c:v>-0.11363636363636363</c:v>
                </c:pt>
                <c:pt idx="9">
                  <c:v>8.25</c:v>
                </c:pt>
                <c:pt idx="10">
                  <c:v>0.62068965517241381</c:v>
                </c:pt>
                <c:pt idx="11">
                  <c:v>2.4313725490196076</c:v>
                </c:pt>
              </c:numCache>
            </c:numRef>
          </c:val>
          <c:extLst>
            <c:ext xmlns:c16="http://schemas.microsoft.com/office/drawing/2014/chart" uri="{C3380CC4-5D6E-409C-BE32-E72D297353CC}">
              <c16:uniqueId val="{00000008-DC1A-486A-8A76-7F4562B4F298}"/>
            </c:ext>
          </c:extLst>
        </c:ser>
        <c:dLbls>
          <c:showLegendKey val="0"/>
          <c:showVal val="0"/>
          <c:showCatName val="0"/>
          <c:showSerName val="0"/>
          <c:showPercent val="0"/>
          <c:showBubbleSize val="0"/>
        </c:dLbls>
        <c:gapWidth val="60"/>
        <c:overlap val="100"/>
        <c:axId val="876525087"/>
        <c:axId val="876525567"/>
      </c:barChart>
      <c:catAx>
        <c:axId val="87652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525567"/>
        <c:crosses val="autoZero"/>
        <c:auto val="1"/>
        <c:lblAlgn val="ctr"/>
        <c:lblOffset val="100"/>
        <c:noMultiLvlLbl val="0"/>
      </c:catAx>
      <c:valAx>
        <c:axId val="876525567"/>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6525087"/>
        <c:crosses val="autoZero"/>
        <c:crossBetween val="between"/>
      </c:valAx>
      <c:spPr>
        <a:noFill/>
        <a:ln>
          <a:noFill/>
        </a:ln>
        <a:effectLst/>
      </c:spPr>
    </c:plotArea>
    <c:legend>
      <c:legendPos val="r"/>
      <c:layout>
        <c:manualLayout>
          <c:xMode val="edge"/>
          <c:yMode val="edge"/>
          <c:x val="0.2601340910340959"/>
          <c:y val="9.4627219312082966E-3"/>
          <c:w val="0.48513333840589923"/>
          <c:h val="0.133929487887531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[PIVOT_TABLES_FINAL.xlsx]Monthly changes (charts)!pvt_DiffPM</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EA7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030003497782513E-2"/>
          <c:y val="0.10807799615599233"/>
          <c:w val="0.89882108020079576"/>
          <c:h val="0.80104664226773703"/>
        </c:manualLayout>
      </c:layout>
      <c:barChart>
        <c:barDir val="col"/>
        <c:grouping val="clustered"/>
        <c:varyColors val="0"/>
        <c:ser>
          <c:idx val="0"/>
          <c:order val="0"/>
          <c:tx>
            <c:strRef>
              <c:f>'Monthly changes (charts)'!$H$3</c:f>
              <c:strCache>
                <c:ptCount val="1"/>
                <c:pt idx="0">
                  <c:v>  Total Sale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changes (charts)'!$G$4:$G$16</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'Monthly changes (charts)'!$H$4:$H$16</c:f>
              <c:numCache>
                <c:formatCode>_-* #,##0\ [$CHF-100C]_-;\-* #,##0\ [$CHF-100C]_-;_-* "-"??\ [$CHF-100C]_-;_-@_-</c:formatCode>
                <c:ptCount val="12"/>
                <c:pt idx="0">
                  <c:v>18201</c:v>
                </c:pt>
                <c:pt idx="1">
                  <c:v>45782</c:v>
                </c:pt>
                <c:pt idx="2">
                  <c:v>67131</c:v>
                </c:pt>
                <c:pt idx="3">
                  <c:v>28631</c:v>
                </c:pt>
                <c:pt idx="4">
                  <c:v>42383</c:v>
                </c:pt>
                <c:pt idx="5">
                  <c:v>67581</c:v>
                </c:pt>
                <c:pt idx="6">
                  <c:v>16442</c:v>
                </c:pt>
                <c:pt idx="7">
                  <c:v>19111</c:v>
                </c:pt>
                <c:pt idx="8">
                  <c:v>12664</c:v>
                </c:pt>
                <c:pt idx="9">
                  <c:v>9198</c:v>
                </c:pt>
                <c:pt idx="10">
                  <c:v>40273</c:v>
                </c:pt>
                <c:pt idx="11">
                  <c:v>21131</c:v>
                </c:pt>
              </c:numCache>
            </c:numRef>
          </c:val>
          <c:extLst>
            <c:ext xmlns:c16="http://schemas.microsoft.com/office/drawing/2014/chart" uri="{C3380CC4-5D6E-409C-BE32-E72D297353CC}">
              <c16:uniqueId val="{00000000-00B9-4009-8251-C11C2D8DB61B}"/>
            </c:ext>
          </c:extLst>
        </c:ser>
        <c:dLbls>
          <c:showLegendKey val="0"/>
          <c:showVal val="0"/>
          <c:showCatName val="0"/>
          <c:showSerName val="0"/>
          <c:showPercent val="0"/>
          <c:showBubbleSize val="0"/>
        </c:dLbls>
        <c:gapWidth val="219"/>
        <c:axId val="961958751"/>
        <c:axId val="961964031"/>
      </c:barChart>
      <c:barChart>
        <c:barDir val="col"/>
        <c:grouping val="clustered"/>
        <c:varyColors val="0"/>
        <c:ser>
          <c:idx val="1"/>
          <c:order val="1"/>
          <c:tx>
            <c:strRef>
              <c:f>'Monthly changes (charts)'!$I$3</c:f>
              <c:strCache>
                <c:ptCount val="1"/>
                <c:pt idx="0">
                  <c:v>% diff PM</c:v>
                </c:pt>
              </c:strCache>
            </c:strRef>
          </c:tx>
          <c:spPr>
            <a:solidFill>
              <a:srgbClr val="4EA72E"/>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changes (charts)'!$G$4:$G$16</c:f>
              <c:strCache>
                <c:ptCount val="12"/>
                <c:pt idx="0">
                  <c:v>janv</c:v>
                </c:pt>
                <c:pt idx="1">
                  <c:v>févr</c:v>
                </c:pt>
                <c:pt idx="2">
                  <c:v>mars</c:v>
                </c:pt>
                <c:pt idx="3">
                  <c:v>avr</c:v>
                </c:pt>
                <c:pt idx="4">
                  <c:v>mai</c:v>
                </c:pt>
                <c:pt idx="5">
                  <c:v>juin</c:v>
                </c:pt>
                <c:pt idx="6">
                  <c:v>juil</c:v>
                </c:pt>
                <c:pt idx="7">
                  <c:v>août</c:v>
                </c:pt>
                <c:pt idx="8">
                  <c:v>sept</c:v>
                </c:pt>
                <c:pt idx="9">
                  <c:v>oct</c:v>
                </c:pt>
                <c:pt idx="10">
                  <c:v>nov</c:v>
                </c:pt>
                <c:pt idx="11">
                  <c:v>déc</c:v>
                </c:pt>
              </c:strCache>
            </c:strRef>
          </c:cat>
          <c:val>
            <c:numRef>
              <c:f>'Monthly changes (charts)'!$I$4:$I$16</c:f>
              <c:numCache>
                <c:formatCode>0.00%</c:formatCode>
                <c:ptCount val="12"/>
                <c:pt idx="1">
                  <c:v>1.5153562991044449</c:v>
                </c:pt>
                <c:pt idx="2">
                  <c:v>0.466318640513739</c:v>
                </c:pt>
                <c:pt idx="3">
                  <c:v>-0.57350553395599646</c:v>
                </c:pt>
                <c:pt idx="4">
                  <c:v>0.48031853585274703</c:v>
                </c:pt>
                <c:pt idx="5">
                  <c:v>0.59453082603874197</c:v>
                </c:pt>
                <c:pt idx="6">
                  <c:v>-0.7567067666947811</c:v>
                </c:pt>
                <c:pt idx="7">
                  <c:v>0.16232818391923123</c:v>
                </c:pt>
                <c:pt idx="8">
                  <c:v>-0.33734498456386375</c:v>
                </c:pt>
                <c:pt idx="9">
                  <c:v>-0.273689197725837</c:v>
                </c:pt>
                <c:pt idx="10">
                  <c:v>3.3784518373559469</c:v>
                </c:pt>
                <c:pt idx="11">
                  <c:v>-0.47530603630223722</c:v>
                </c:pt>
              </c:numCache>
            </c:numRef>
          </c:val>
          <c:extLst>
            <c:ext xmlns:c14="http://schemas.microsoft.com/office/drawing/2007/8/2/chart" uri="{6F2FDCE9-48DA-4B69-8628-5D25D57E5C99}">
              <c14:invertSolidFillFmt>
                <c14:spPr xmlns:c14="http://schemas.microsoft.com/office/drawing/2007/8/2/chart">
                  <a:solidFill>
                    <a:srgbClr val="E97132"/>
                  </a:solidFill>
                  <a:ln>
                    <a:noFill/>
                  </a:ln>
                  <a:effectLst/>
                </c14:spPr>
              </c14:invertSolidFillFmt>
            </c:ext>
            <c:ext xmlns:c16="http://schemas.microsoft.com/office/drawing/2014/chart" uri="{C3380CC4-5D6E-409C-BE32-E72D297353CC}">
              <c16:uniqueId val="{00000002-00B9-4009-8251-C11C2D8DB61B}"/>
            </c:ext>
          </c:extLst>
        </c:ser>
        <c:dLbls>
          <c:showLegendKey val="0"/>
          <c:showVal val="0"/>
          <c:showCatName val="0"/>
          <c:showSerName val="0"/>
          <c:showPercent val="0"/>
          <c:showBubbleSize val="0"/>
        </c:dLbls>
        <c:gapWidth val="219"/>
        <c:axId val="906713007"/>
        <c:axId val="906712527"/>
      </c:barChart>
      <c:catAx>
        <c:axId val="96195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964031"/>
        <c:crosses val="autoZero"/>
        <c:auto val="1"/>
        <c:lblAlgn val="ctr"/>
        <c:lblOffset val="100"/>
        <c:noMultiLvlLbl val="0"/>
      </c:catAx>
      <c:valAx>
        <c:axId val="961964031"/>
        <c:scaling>
          <c:orientation val="minMax"/>
          <c:max val="120000"/>
        </c:scaling>
        <c:delete val="0"/>
        <c:axPos val="l"/>
        <c:numFmt formatCode="_-* #,##0\ [$CHF-100C]_-;\-* #,##0\ [$CHF-100C]_-;_-* &quot;-&quot;??\ [$CHF-100C]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958751"/>
        <c:crosses val="autoZero"/>
        <c:crossBetween val="between"/>
      </c:valAx>
      <c:valAx>
        <c:axId val="906712527"/>
        <c:scaling>
          <c:orientation val="minMax"/>
          <c:max val="3.5"/>
          <c:min val="-10"/>
        </c:scaling>
        <c:delete val="0"/>
        <c:axPos val="r"/>
        <c:numFmt formatCode=";;"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713007"/>
        <c:crosses val="max"/>
        <c:crossBetween val="between"/>
      </c:valAx>
      <c:catAx>
        <c:axId val="906713007"/>
        <c:scaling>
          <c:orientation val="minMax"/>
        </c:scaling>
        <c:delete val="1"/>
        <c:axPos val="b"/>
        <c:numFmt formatCode="General" sourceLinked="1"/>
        <c:majorTickMark val="out"/>
        <c:minorTickMark val="none"/>
        <c:tickLblPos val="nextTo"/>
        <c:crossAx val="906712527"/>
        <c:auto val="1"/>
        <c:lblAlgn val="ctr"/>
        <c:lblOffset val="100"/>
        <c:noMultiLvlLbl val="0"/>
      </c:cat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[PIVOT_TABLES_FINAL.xlsx]Sales History!pvt_Multi2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History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History'!$J$1</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19050" cap="rnd">
                <a:solidFill>
                  <a:schemeClr val="accent1">
                    <a:lumMod val="60000"/>
                    <a:lumOff val="40000"/>
                  </a:schemeClr>
                </a:solidFill>
                <a:prstDash val="sysDot"/>
              </a:ln>
              <a:effectLst/>
            </c:spPr>
            <c:trendlineType val="movingAvg"/>
            <c:period val="2"/>
            <c:dispRSqr val="0"/>
            <c:dispEq val="0"/>
          </c:trendline>
          <c:trendline>
            <c:spPr>
              <a:ln w="19050" cap="rnd">
                <a:solidFill>
                  <a:schemeClr val="accent2"/>
                </a:solidFill>
                <a:prstDash val="sysDot"/>
              </a:ln>
              <a:effectLst/>
            </c:spPr>
            <c:trendlineType val="linear"/>
            <c:dispRSqr val="0"/>
            <c:dispEq val="0"/>
          </c:trendline>
          <c:cat>
            <c:multiLvlStrRef>
              <c:f>'Sales History'!$H$2:$I$28</c:f>
              <c:multiLvlStrCache>
                <c:ptCount val="24"/>
                <c:lvl>
                  <c:pt idx="0">
                    <c:v>janv</c:v>
                  </c:pt>
                  <c:pt idx="1">
                    <c:v>févr</c:v>
                  </c:pt>
                  <c:pt idx="2">
                    <c:v>mars</c:v>
                  </c:pt>
                  <c:pt idx="3">
                    <c:v>avr</c:v>
                  </c:pt>
                  <c:pt idx="4">
                    <c:v>mai</c:v>
                  </c:pt>
                  <c:pt idx="5">
                    <c:v>juin</c:v>
                  </c:pt>
                  <c:pt idx="6">
                    <c:v>juil</c:v>
                  </c:pt>
                  <c:pt idx="7">
                    <c:v>août</c:v>
                  </c:pt>
                  <c:pt idx="8">
                    <c:v>sept</c:v>
                  </c:pt>
                  <c:pt idx="9">
                    <c:v>oct</c:v>
                  </c:pt>
                  <c:pt idx="10">
                    <c:v>nov</c:v>
                  </c:pt>
                  <c:pt idx="11">
                    <c:v>déc</c:v>
                  </c:pt>
                  <c:pt idx="12">
                    <c:v>janv</c:v>
                  </c:pt>
                  <c:pt idx="13">
                    <c:v>févr</c:v>
                  </c:pt>
                  <c:pt idx="14">
                    <c:v>mars</c:v>
                  </c:pt>
                  <c:pt idx="15">
                    <c:v>avr</c:v>
                  </c:pt>
                  <c:pt idx="16">
                    <c:v>mai</c:v>
                  </c:pt>
                  <c:pt idx="17">
                    <c:v>juin</c:v>
                  </c:pt>
                  <c:pt idx="18">
                    <c:v>juil</c:v>
                  </c:pt>
                  <c:pt idx="19">
                    <c:v>août</c:v>
                  </c:pt>
                  <c:pt idx="20">
                    <c:v>sept</c:v>
                  </c:pt>
                  <c:pt idx="21">
                    <c:v>oct</c:v>
                  </c:pt>
                  <c:pt idx="22">
                    <c:v>nov</c:v>
                  </c:pt>
                  <c:pt idx="23">
                    <c:v>déc</c:v>
                  </c:pt>
                </c:lvl>
                <c:lvl>
                  <c:pt idx="0">
                    <c:v>2021</c:v>
                  </c:pt>
                  <c:pt idx="12">
                    <c:v>2022</c:v>
                  </c:pt>
                </c:lvl>
              </c:multiLvlStrCache>
            </c:multiLvlStrRef>
          </c:cat>
          <c:val>
            <c:numRef>
              <c:f>'Sales History'!$J$2:$J$28</c:f>
              <c:numCache>
                <c:formatCode>_-* #,##0\ [$CHF-100C]_-;\-* #,##0\ [$CHF-100C]_-;_-* "-"??\ [$CHF-100C]_-;_-@_-</c:formatCode>
                <c:ptCount val="24"/>
                <c:pt idx="0">
                  <c:v>18201</c:v>
                </c:pt>
                <c:pt idx="1">
                  <c:v>45782</c:v>
                </c:pt>
                <c:pt idx="2">
                  <c:v>67131</c:v>
                </c:pt>
                <c:pt idx="3">
                  <c:v>28631</c:v>
                </c:pt>
                <c:pt idx="4">
                  <c:v>42383</c:v>
                </c:pt>
                <c:pt idx="5">
                  <c:v>67581</c:v>
                </c:pt>
                <c:pt idx="6">
                  <c:v>16442</c:v>
                </c:pt>
                <c:pt idx="7">
                  <c:v>19111</c:v>
                </c:pt>
                <c:pt idx="8">
                  <c:v>12664</c:v>
                </c:pt>
                <c:pt idx="9">
                  <c:v>9198</c:v>
                </c:pt>
                <c:pt idx="10">
                  <c:v>40273</c:v>
                </c:pt>
                <c:pt idx="11">
                  <c:v>21131</c:v>
                </c:pt>
                <c:pt idx="12">
                  <c:v>40602</c:v>
                </c:pt>
                <c:pt idx="13">
                  <c:v>58523</c:v>
                </c:pt>
                <c:pt idx="14">
                  <c:v>65712</c:v>
                </c:pt>
                <c:pt idx="15">
                  <c:v>69169</c:v>
                </c:pt>
                <c:pt idx="16">
                  <c:v>67572</c:v>
                </c:pt>
                <c:pt idx="17">
                  <c:v>64031</c:v>
                </c:pt>
                <c:pt idx="18">
                  <c:v>81432</c:v>
                </c:pt>
                <c:pt idx="19">
                  <c:v>71224</c:v>
                </c:pt>
                <c:pt idx="20">
                  <c:v>18760</c:v>
                </c:pt>
                <c:pt idx="21">
                  <c:v>84326</c:v>
                </c:pt>
                <c:pt idx="22">
                  <c:v>69175</c:v>
                </c:pt>
                <c:pt idx="23">
                  <c:v>79117</c:v>
                </c:pt>
              </c:numCache>
            </c:numRef>
          </c:val>
          <c:smooth val="1"/>
          <c:extLst>
            <c:ext xmlns:c16="http://schemas.microsoft.com/office/drawing/2014/chart" uri="{C3380CC4-5D6E-409C-BE32-E72D297353CC}">
              <c16:uniqueId val="{00000000-B1DE-4A74-B41D-A516E7C8E9AE}"/>
            </c:ext>
          </c:extLst>
        </c:ser>
        <c:dLbls>
          <c:showLegendKey val="0"/>
          <c:showVal val="0"/>
          <c:showCatName val="0"/>
          <c:showSerName val="0"/>
          <c:showPercent val="0"/>
          <c:showBubbleSize val="0"/>
        </c:dLbls>
        <c:smooth val="0"/>
        <c:axId val="455730032"/>
        <c:axId val="455730512"/>
      </c:lineChart>
      <c:catAx>
        <c:axId val="45573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730512"/>
        <c:crosses val="autoZero"/>
        <c:auto val="1"/>
        <c:lblAlgn val="ctr"/>
        <c:lblOffset val="100"/>
        <c:noMultiLvlLbl val="0"/>
      </c:catAx>
      <c:valAx>
        <c:axId val="455730512"/>
        <c:scaling>
          <c:orientation val="minMax"/>
        </c:scaling>
        <c:delete val="0"/>
        <c:axPos val="l"/>
        <c:majorGridlines>
          <c:spPr>
            <a:ln w="9525" cap="flat" cmpd="sng" algn="ctr">
              <a:solidFill>
                <a:schemeClr val="tx1">
                  <a:lumMod val="15000"/>
                  <a:lumOff val="85000"/>
                </a:schemeClr>
              </a:solidFill>
              <a:round/>
            </a:ln>
            <a:effectLst/>
          </c:spPr>
        </c:majorGridlines>
        <c:numFmt formatCode="_-* #,##0\ [$CHF-100C]_-;\-* #,##0\ [$CHF-100C]_-;_-* &quot;-&quot;??\ [$CHF-100C]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730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[PIVOT_TABLES_FINAL.xlsx]Bar chart!PivotTable15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'Bar chart'!$B$1:$B$3</c:f>
              <c:strCache>
                <c:ptCount val="1"/>
                <c:pt idx="0">
                  <c:v>2021 - Qtr1</c:v>
                </c:pt>
              </c:strCache>
            </c:strRef>
          </c:tx>
          <c:spPr>
            <a:solidFill>
              <a:schemeClr val="accent1"/>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chart'!$B$4:$B$19</c:f>
              <c:numCache>
                <c:formatCode>_-* #,##0\ [$CHF-100C]_-;\-* #,##0\ [$CHF-100C]_-;_-* "-"??\ [$CHF-100C]_-;_-@_-</c:formatCode>
                <c:ptCount val="15"/>
                <c:pt idx="0">
                  <c:v>6624</c:v>
                </c:pt>
                <c:pt idx="1">
                  <c:v>9282</c:v>
                </c:pt>
                <c:pt idx="2">
                  <c:v>14393</c:v>
                </c:pt>
                <c:pt idx="4">
                  <c:v>16698</c:v>
                </c:pt>
                <c:pt idx="6">
                  <c:v>2871</c:v>
                </c:pt>
                <c:pt idx="7">
                  <c:v>8925</c:v>
                </c:pt>
                <c:pt idx="8">
                  <c:v>4470</c:v>
                </c:pt>
                <c:pt idx="9">
                  <c:v>23217</c:v>
                </c:pt>
                <c:pt idx="10">
                  <c:v>15840</c:v>
                </c:pt>
                <c:pt idx="12">
                  <c:v>6048</c:v>
                </c:pt>
                <c:pt idx="13">
                  <c:v>22746</c:v>
                </c:pt>
              </c:numCache>
            </c:numRef>
          </c:val>
          <c:extLst>
            <c:ext xmlns:c16="http://schemas.microsoft.com/office/drawing/2014/chart" uri="{C3380CC4-5D6E-409C-BE32-E72D297353CC}">
              <c16:uniqueId val="{00000000-F79A-425B-A5FE-B86ECE22447A}"/>
            </c:ext>
          </c:extLst>
        </c:ser>
        <c:ser>
          <c:idx val="1"/>
          <c:order val="1"/>
          <c:tx>
            <c:strRef>
              <c:f>'Bar chart'!$C$1:$C$3</c:f>
              <c:strCache>
                <c:ptCount val="1"/>
                <c:pt idx="0">
                  <c:v>2021 - Qtr2</c:v>
                </c:pt>
              </c:strCache>
            </c:strRef>
          </c:tx>
          <c:spPr>
            <a:solidFill>
              <a:schemeClr val="accent2"/>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chart'!$C$4:$C$19</c:f>
              <c:numCache>
                <c:formatCode>_-* #,##0\ [$CHF-100C]_-;\-* #,##0\ [$CHF-100C]_-;_-* "-"??\ [$CHF-100C]_-;_-@_-</c:formatCode>
                <c:ptCount val="15"/>
                <c:pt idx="0">
                  <c:v>5760</c:v>
                </c:pt>
                <c:pt idx="1">
                  <c:v>6630</c:v>
                </c:pt>
                <c:pt idx="2">
                  <c:v>6613</c:v>
                </c:pt>
                <c:pt idx="3">
                  <c:v>5646</c:v>
                </c:pt>
                <c:pt idx="4">
                  <c:v>10120</c:v>
                </c:pt>
                <c:pt idx="5">
                  <c:v>7476</c:v>
                </c:pt>
                <c:pt idx="6">
                  <c:v>11654</c:v>
                </c:pt>
                <c:pt idx="7">
                  <c:v>1785</c:v>
                </c:pt>
                <c:pt idx="8">
                  <c:v>7152</c:v>
                </c:pt>
                <c:pt idx="9">
                  <c:v>21320</c:v>
                </c:pt>
                <c:pt idx="10">
                  <c:v>15180</c:v>
                </c:pt>
                <c:pt idx="11">
                  <c:v>5096</c:v>
                </c:pt>
                <c:pt idx="12">
                  <c:v>10080</c:v>
                </c:pt>
                <c:pt idx="13">
                  <c:v>14049</c:v>
                </c:pt>
                <c:pt idx="14">
                  <c:v>10034</c:v>
                </c:pt>
              </c:numCache>
            </c:numRef>
          </c:val>
          <c:extLst>
            <c:ext xmlns:c16="http://schemas.microsoft.com/office/drawing/2014/chart" uri="{C3380CC4-5D6E-409C-BE32-E72D297353CC}">
              <c16:uniqueId val="{00000001-F79A-425B-A5FE-B86ECE22447A}"/>
            </c:ext>
          </c:extLst>
        </c:ser>
        <c:ser>
          <c:idx val="2"/>
          <c:order val="2"/>
          <c:tx>
            <c:strRef>
              <c:f>'Bar chart'!$D$1:$D$3</c:f>
              <c:strCache>
                <c:ptCount val="1"/>
                <c:pt idx="0">
                  <c:v>2021 - Qtr3</c:v>
                </c:pt>
              </c:strCache>
            </c:strRef>
          </c:tx>
          <c:spPr>
            <a:solidFill>
              <a:schemeClr val="accent3"/>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chart'!$D$4:$D$19</c:f>
              <c:numCache>
                <c:formatCode>_-* #,##0\ [$CHF-100C]_-;\-* #,##0\ [$CHF-100C]_-;_-* "-"??\ [$CHF-100C]_-;_-@_-</c:formatCode>
                <c:ptCount val="15"/>
                <c:pt idx="3">
                  <c:v>5150</c:v>
                </c:pt>
                <c:pt idx="4">
                  <c:v>2530</c:v>
                </c:pt>
                <c:pt idx="5">
                  <c:v>4272</c:v>
                </c:pt>
                <c:pt idx="6">
                  <c:v>420</c:v>
                </c:pt>
                <c:pt idx="7">
                  <c:v>1785</c:v>
                </c:pt>
                <c:pt idx="8">
                  <c:v>2682</c:v>
                </c:pt>
                <c:pt idx="9">
                  <c:v>7284</c:v>
                </c:pt>
                <c:pt idx="10">
                  <c:v>1980</c:v>
                </c:pt>
                <c:pt idx="11">
                  <c:v>14896</c:v>
                </c:pt>
                <c:pt idx="13">
                  <c:v>2007</c:v>
                </c:pt>
                <c:pt idx="14">
                  <c:v>5211</c:v>
                </c:pt>
              </c:numCache>
            </c:numRef>
          </c:val>
          <c:extLst>
            <c:ext xmlns:c16="http://schemas.microsoft.com/office/drawing/2014/chart" uri="{C3380CC4-5D6E-409C-BE32-E72D297353CC}">
              <c16:uniqueId val="{00000002-F79A-425B-A5FE-B86ECE22447A}"/>
            </c:ext>
          </c:extLst>
        </c:ser>
        <c:ser>
          <c:idx val="3"/>
          <c:order val="3"/>
          <c:tx>
            <c:strRef>
              <c:f>'Bar chart'!$E$1:$E$3</c:f>
              <c:strCache>
                <c:ptCount val="1"/>
                <c:pt idx="0">
                  <c:v>2021 - Qtr4</c:v>
                </c:pt>
              </c:strCache>
            </c:strRef>
          </c:tx>
          <c:spPr>
            <a:solidFill>
              <a:schemeClr val="accent4"/>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chart'!$E$4:$E$19</c:f>
              <c:numCache>
                <c:formatCode>_-* #,##0\ [$CHF-100C]_-;\-* #,##0\ [$CHF-100C]_-;_-* "-"??\ [$CHF-100C]_-;_-@_-</c:formatCode>
                <c:ptCount val="15"/>
                <c:pt idx="3">
                  <c:v>12178</c:v>
                </c:pt>
                <c:pt idx="5">
                  <c:v>3738</c:v>
                </c:pt>
                <c:pt idx="6">
                  <c:v>5460</c:v>
                </c:pt>
                <c:pt idx="9">
                  <c:v>25036</c:v>
                </c:pt>
                <c:pt idx="11">
                  <c:v>4459</c:v>
                </c:pt>
                <c:pt idx="14">
                  <c:v>19731</c:v>
                </c:pt>
              </c:numCache>
            </c:numRef>
          </c:val>
          <c:extLst>
            <c:ext xmlns:c16="http://schemas.microsoft.com/office/drawing/2014/chart" uri="{C3380CC4-5D6E-409C-BE32-E72D297353CC}">
              <c16:uniqueId val="{00000003-F79A-425B-A5FE-B86ECE22447A}"/>
            </c:ext>
          </c:extLst>
        </c:ser>
        <c:ser>
          <c:idx val="4"/>
          <c:order val="4"/>
          <c:tx>
            <c:strRef>
              <c:f>'Bar chart'!$G$1:$G$3</c:f>
              <c:strCache>
                <c:ptCount val="1"/>
                <c:pt idx="0">
                  <c:v>2022 - Qtr1</c:v>
                </c:pt>
              </c:strCache>
            </c:strRef>
          </c:tx>
          <c:spPr>
            <a:solidFill>
              <a:schemeClr val="accent5"/>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chart'!$G$4:$G$19</c:f>
              <c:numCache>
                <c:formatCode>_-* #,##0\ [$CHF-100C]_-;\-* #,##0\ [$CHF-100C]_-;_-* "-"??\ [$CHF-100C]_-;_-@_-</c:formatCode>
                <c:ptCount val="15"/>
                <c:pt idx="0">
                  <c:v>6048</c:v>
                </c:pt>
                <c:pt idx="1">
                  <c:v>5304</c:v>
                </c:pt>
                <c:pt idx="2">
                  <c:v>5057</c:v>
                </c:pt>
                <c:pt idx="3">
                  <c:v>11487</c:v>
                </c:pt>
                <c:pt idx="4">
                  <c:v>19228</c:v>
                </c:pt>
                <c:pt idx="5">
                  <c:v>14952</c:v>
                </c:pt>
                <c:pt idx="6">
                  <c:v>15370</c:v>
                </c:pt>
                <c:pt idx="7">
                  <c:v>1785</c:v>
                </c:pt>
                <c:pt idx="8">
                  <c:v>5662</c:v>
                </c:pt>
                <c:pt idx="9">
                  <c:v>26100</c:v>
                </c:pt>
                <c:pt idx="10">
                  <c:v>11220</c:v>
                </c:pt>
                <c:pt idx="11">
                  <c:v>4900</c:v>
                </c:pt>
                <c:pt idx="12">
                  <c:v>9576</c:v>
                </c:pt>
                <c:pt idx="13">
                  <c:v>6690</c:v>
                </c:pt>
                <c:pt idx="14">
                  <c:v>21458</c:v>
                </c:pt>
              </c:numCache>
            </c:numRef>
          </c:val>
          <c:extLst>
            <c:ext xmlns:c16="http://schemas.microsoft.com/office/drawing/2014/chart" uri="{C3380CC4-5D6E-409C-BE32-E72D297353CC}">
              <c16:uniqueId val="{00000004-F79A-425B-A5FE-B86ECE22447A}"/>
            </c:ext>
          </c:extLst>
        </c:ser>
        <c:ser>
          <c:idx val="5"/>
          <c:order val="5"/>
          <c:tx>
            <c:strRef>
              <c:f>'Bar chart'!$H$1:$H$3</c:f>
              <c:strCache>
                <c:ptCount val="1"/>
                <c:pt idx="0">
                  <c:v>2022 - Qtr2</c:v>
                </c:pt>
              </c:strCache>
            </c:strRef>
          </c:tx>
          <c:spPr>
            <a:solidFill>
              <a:schemeClr val="accent6"/>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chart'!$H$4:$H$19</c:f>
              <c:numCache>
                <c:formatCode>_-* #,##0\ [$CHF-100C]_-;\-* #,##0\ [$CHF-100C]_-;_-* "-"??\ [$CHF-100C]_-;_-@_-</c:formatCode>
                <c:ptCount val="15"/>
                <c:pt idx="0">
                  <c:v>8064</c:v>
                </c:pt>
                <c:pt idx="1">
                  <c:v>17238</c:v>
                </c:pt>
                <c:pt idx="2">
                  <c:v>6613</c:v>
                </c:pt>
                <c:pt idx="3">
                  <c:v>10300</c:v>
                </c:pt>
                <c:pt idx="4">
                  <c:v>11132</c:v>
                </c:pt>
                <c:pt idx="5">
                  <c:v>4272</c:v>
                </c:pt>
                <c:pt idx="6">
                  <c:v>14881</c:v>
                </c:pt>
                <c:pt idx="7">
                  <c:v>12495</c:v>
                </c:pt>
                <c:pt idx="8">
                  <c:v>8642</c:v>
                </c:pt>
                <c:pt idx="9">
                  <c:v>16881</c:v>
                </c:pt>
                <c:pt idx="10">
                  <c:v>31680</c:v>
                </c:pt>
                <c:pt idx="11">
                  <c:v>5047</c:v>
                </c:pt>
                <c:pt idx="12">
                  <c:v>16128</c:v>
                </c:pt>
                <c:pt idx="13">
                  <c:v>27429</c:v>
                </c:pt>
                <c:pt idx="14">
                  <c:v>9970</c:v>
                </c:pt>
              </c:numCache>
            </c:numRef>
          </c:val>
          <c:extLst>
            <c:ext xmlns:c16="http://schemas.microsoft.com/office/drawing/2014/chart" uri="{C3380CC4-5D6E-409C-BE32-E72D297353CC}">
              <c16:uniqueId val="{00000005-F79A-425B-A5FE-B86ECE22447A}"/>
            </c:ext>
          </c:extLst>
        </c:ser>
        <c:ser>
          <c:idx val="6"/>
          <c:order val="6"/>
          <c:tx>
            <c:strRef>
              <c:f>'Bar chart'!$I$1:$I$3</c:f>
              <c:strCache>
                <c:ptCount val="1"/>
                <c:pt idx="0">
                  <c:v>2022 - Qtr3</c:v>
                </c:pt>
              </c:strCache>
            </c:strRef>
          </c:tx>
          <c:spPr>
            <a:solidFill>
              <a:schemeClr val="accent1">
                <a:lumMod val="60000"/>
              </a:schemeClr>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chart'!$I$4:$I$19</c:f>
              <c:numCache>
                <c:formatCode>_-* #,##0\ [$CHF-100C]_-;\-* #,##0\ [$CHF-100C]_-;_-* "-"??\ [$CHF-100C]_-;_-@_-</c:formatCode>
                <c:ptCount val="15"/>
                <c:pt idx="3">
                  <c:v>22868</c:v>
                </c:pt>
                <c:pt idx="4">
                  <c:v>18216</c:v>
                </c:pt>
                <c:pt idx="5">
                  <c:v>9612</c:v>
                </c:pt>
                <c:pt idx="6">
                  <c:v>7980</c:v>
                </c:pt>
                <c:pt idx="8">
                  <c:v>2384</c:v>
                </c:pt>
                <c:pt idx="9">
                  <c:v>31638</c:v>
                </c:pt>
                <c:pt idx="10">
                  <c:v>9240</c:v>
                </c:pt>
                <c:pt idx="11">
                  <c:v>23128</c:v>
                </c:pt>
                <c:pt idx="13">
                  <c:v>10035</c:v>
                </c:pt>
                <c:pt idx="14">
                  <c:v>36315</c:v>
                </c:pt>
              </c:numCache>
            </c:numRef>
          </c:val>
          <c:extLst>
            <c:ext xmlns:c16="http://schemas.microsoft.com/office/drawing/2014/chart" uri="{C3380CC4-5D6E-409C-BE32-E72D297353CC}">
              <c16:uniqueId val="{00000006-F79A-425B-A5FE-B86ECE22447A}"/>
            </c:ext>
          </c:extLst>
        </c:ser>
        <c:ser>
          <c:idx val="7"/>
          <c:order val="7"/>
          <c:tx>
            <c:strRef>
              <c:f>'Bar chart'!$J$1:$J$3</c:f>
              <c:strCache>
                <c:ptCount val="1"/>
                <c:pt idx="0">
                  <c:v>2022 - Qtr4</c:v>
                </c:pt>
              </c:strCache>
            </c:strRef>
          </c:tx>
          <c:spPr>
            <a:solidFill>
              <a:schemeClr val="accent2">
                <a:lumMod val="60000"/>
              </a:schemeClr>
            </a:solidFill>
            <a:ln>
              <a:noFill/>
            </a:ln>
            <a:effectLst/>
          </c:spPr>
          <c:invertIfNegative val="0"/>
          <c:cat>
            <c:strRef>
              <c:f>'Bar chart'!$A$4:$A$19</c:f>
              <c:strCache>
                <c:ptCount val="15"/>
                <c:pt idx="0">
                  <c:v>Air purifier</c:v>
                </c:pt>
                <c:pt idx="1">
                  <c:v>Bamboo toothbrush</c:v>
                </c:pt>
                <c:pt idx="2">
                  <c:v>Bluetooth earbuds</c:v>
                </c:pt>
                <c:pt idx="3">
                  <c:v>Home decor</c:v>
                </c:pt>
                <c:pt idx="4">
                  <c:v>LED lighting</c:v>
                </c:pt>
                <c:pt idx="5">
                  <c:v>Massage gun</c:v>
                </c:pt>
                <c:pt idx="6">
                  <c:v>Natural skincare</c:v>
                </c:pt>
                <c:pt idx="7">
                  <c:v>Organic socks</c:v>
                </c:pt>
                <c:pt idx="8">
                  <c:v>Pet accessory</c:v>
                </c:pt>
                <c:pt idx="9">
                  <c:v>Phone case</c:v>
                </c:pt>
                <c:pt idx="10">
                  <c:v>Premium pet food</c:v>
                </c:pt>
                <c:pt idx="11">
                  <c:v>Recycled shopipng bag</c:v>
                </c:pt>
                <c:pt idx="12">
                  <c:v>Reusable water bottle</c:v>
                </c:pt>
                <c:pt idx="13">
                  <c:v>Running hoodie</c:v>
                </c:pt>
                <c:pt idx="14">
                  <c:v>Wireless charger</c:v>
                </c:pt>
              </c:strCache>
            </c:strRef>
          </c:cat>
          <c:val>
            <c:numRef>
              <c:f>'Bar chart'!$J$4:$J$19</c:f>
              <c:numCache>
                <c:formatCode>_-* #,##0\ [$CHF-100C]_-;\-* #,##0\ [$CHF-100C]_-;_-* "-"??\ [$CHF-100C]_-;_-@_-</c:formatCode>
                <c:ptCount val="15"/>
                <c:pt idx="0">
                  <c:v>8528</c:v>
                </c:pt>
                <c:pt idx="1">
                  <c:v>12894</c:v>
                </c:pt>
                <c:pt idx="2">
                  <c:v>6580</c:v>
                </c:pt>
                <c:pt idx="3">
                  <c:v>27635</c:v>
                </c:pt>
                <c:pt idx="4">
                  <c:v>13617</c:v>
                </c:pt>
                <c:pt idx="5">
                  <c:v>7529</c:v>
                </c:pt>
                <c:pt idx="6">
                  <c:v>22237</c:v>
                </c:pt>
                <c:pt idx="7">
                  <c:v>8116</c:v>
                </c:pt>
                <c:pt idx="8">
                  <c:v>6952</c:v>
                </c:pt>
                <c:pt idx="9">
                  <c:v>33965</c:v>
                </c:pt>
                <c:pt idx="10">
                  <c:v>11508</c:v>
                </c:pt>
                <c:pt idx="11">
                  <c:v>27311</c:v>
                </c:pt>
                <c:pt idx="12">
                  <c:v>9084</c:v>
                </c:pt>
                <c:pt idx="13">
                  <c:v>4425</c:v>
                </c:pt>
                <c:pt idx="14">
                  <c:v>32237</c:v>
                </c:pt>
              </c:numCache>
            </c:numRef>
          </c:val>
          <c:extLst>
            <c:ext xmlns:c16="http://schemas.microsoft.com/office/drawing/2014/chart" uri="{C3380CC4-5D6E-409C-BE32-E72D297353CC}">
              <c16:uniqueId val="{00000008-F79A-425B-A5FE-B86ECE22447A}"/>
            </c:ext>
          </c:extLst>
        </c:ser>
        <c:dLbls>
          <c:showLegendKey val="0"/>
          <c:showVal val="0"/>
          <c:showCatName val="0"/>
          <c:showSerName val="0"/>
          <c:showPercent val="0"/>
          <c:showBubbleSize val="0"/>
        </c:dLbls>
        <c:gapWidth val="150"/>
        <c:overlap val="100"/>
        <c:axId val="617561568"/>
        <c:axId val="617558208"/>
      </c:barChart>
      <c:catAx>
        <c:axId val="61756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17558208"/>
        <c:crosses val="autoZero"/>
        <c:auto val="1"/>
        <c:lblAlgn val="ctr"/>
        <c:lblOffset val="100"/>
        <c:noMultiLvlLbl val="0"/>
      </c:catAx>
      <c:valAx>
        <c:axId val="617558208"/>
        <c:scaling>
          <c:orientation val="minMax"/>
        </c:scaling>
        <c:delete val="0"/>
        <c:axPos val="b"/>
        <c:majorGridlines>
          <c:spPr>
            <a:ln w="9525" cap="flat" cmpd="sng" algn="ctr">
              <a:solidFill>
                <a:schemeClr val="tx1">
                  <a:lumMod val="15000"/>
                  <a:lumOff val="85000"/>
                </a:schemeClr>
              </a:solidFill>
              <a:round/>
            </a:ln>
            <a:effectLst/>
          </c:spPr>
        </c:majorGridlines>
        <c:numFmt formatCode="_-* #,##0\ [$CHF-100C]_-;\-* #,##0\ [$CHF-100C]_-;_-* &quot;-&quot;??\ [$CHF-100C]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56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[PIVOT_TABLES_FINAL.xlsx]Pivot chart!pvt_DeliveryChanneé</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94262995232104"/>
          <c:y val="9.4554332325403598E-2"/>
          <c:w val="0.83405730533683287"/>
          <c:h val="0.83489647127442401"/>
        </c:manualLayout>
      </c:layout>
      <c:barChart>
        <c:barDir val="col"/>
        <c:grouping val="stacked"/>
        <c:varyColors val="0"/>
        <c:ser>
          <c:idx val="0"/>
          <c:order val="0"/>
          <c:tx>
            <c:strRef>
              <c:f>'Pivot chart'!$B$1:$B$2</c:f>
              <c:strCache>
                <c:ptCount val="1"/>
                <c:pt idx="0">
                  <c:v>Internet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chart'!$A$3:$A$8</c:f>
              <c:strCache>
                <c:ptCount val="5"/>
                <c:pt idx="0">
                  <c:v>Air mail</c:v>
                </c:pt>
                <c:pt idx="1">
                  <c:v>Express mail</c:v>
                </c:pt>
                <c:pt idx="2">
                  <c:v>Pickup</c:v>
                </c:pt>
                <c:pt idx="3">
                  <c:v>Regular mail</c:v>
                </c:pt>
                <c:pt idx="4">
                  <c:v>Reseller</c:v>
                </c:pt>
              </c:strCache>
            </c:strRef>
          </c:cat>
          <c:val>
            <c:numRef>
              <c:f>'Pivot chart'!$B$3:$B$8</c:f>
              <c:numCache>
                <c:formatCode>_-* #,##0\ [$CHF-100C]_-;\-* #,##0\ [$CHF-100C]_-;_-* "-"??\ [$CHF-100C]_-;_-@_-</c:formatCode>
                <c:ptCount val="5"/>
                <c:pt idx="0">
                  <c:v>12987</c:v>
                </c:pt>
                <c:pt idx="1">
                  <c:v>83218</c:v>
                </c:pt>
                <c:pt idx="2">
                  <c:v>166370</c:v>
                </c:pt>
                <c:pt idx="3">
                  <c:v>41600</c:v>
                </c:pt>
                <c:pt idx="4">
                  <c:v>43558</c:v>
                </c:pt>
              </c:numCache>
            </c:numRef>
          </c:val>
          <c:extLst>
            <c:ext xmlns:c16="http://schemas.microsoft.com/office/drawing/2014/chart" uri="{C3380CC4-5D6E-409C-BE32-E72D297353CC}">
              <c16:uniqueId val="{00000000-4246-4DB9-9CF5-EB8B147A0E54}"/>
            </c:ext>
          </c:extLst>
        </c:ser>
        <c:ser>
          <c:idx val="1"/>
          <c:order val="1"/>
          <c:tx>
            <c:strRef>
              <c:f>'Pivot chart'!$C$1:$C$2</c:f>
              <c:strCache>
                <c:ptCount val="1"/>
                <c:pt idx="0">
                  <c:v>Phone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chart'!$A$3:$A$8</c:f>
              <c:strCache>
                <c:ptCount val="5"/>
                <c:pt idx="0">
                  <c:v>Air mail</c:v>
                </c:pt>
                <c:pt idx="1">
                  <c:v>Express mail</c:v>
                </c:pt>
                <c:pt idx="2">
                  <c:v>Pickup</c:v>
                </c:pt>
                <c:pt idx="3">
                  <c:v>Regular mail</c:v>
                </c:pt>
                <c:pt idx="4">
                  <c:v>Reseller</c:v>
                </c:pt>
              </c:strCache>
            </c:strRef>
          </c:cat>
          <c:val>
            <c:numRef>
              <c:f>'Pivot chart'!$C$3:$C$8</c:f>
              <c:numCache>
                <c:formatCode>_-* #,##0\ [$CHF-100C]_-;\-* #,##0\ [$CHF-100C]_-;_-* "-"??\ [$CHF-100C]_-;_-@_-</c:formatCode>
                <c:ptCount val="5"/>
                <c:pt idx="0">
                  <c:v>20493</c:v>
                </c:pt>
                <c:pt idx="1">
                  <c:v>37403</c:v>
                </c:pt>
                <c:pt idx="2">
                  <c:v>115352</c:v>
                </c:pt>
                <c:pt idx="3">
                  <c:v>35762</c:v>
                </c:pt>
                <c:pt idx="4">
                  <c:v>44952</c:v>
                </c:pt>
              </c:numCache>
            </c:numRef>
          </c:val>
          <c:extLst>
            <c:ext xmlns:c16="http://schemas.microsoft.com/office/drawing/2014/chart" uri="{C3380CC4-5D6E-409C-BE32-E72D297353CC}">
              <c16:uniqueId val="{00000001-4246-4DB9-9CF5-EB8B147A0E54}"/>
            </c:ext>
          </c:extLst>
        </c:ser>
        <c:ser>
          <c:idx val="2"/>
          <c:order val="2"/>
          <c:tx>
            <c:strRef>
              <c:f>'Pivot chart'!$D$1:$D$2</c:f>
              <c:strCache>
                <c:ptCount val="1"/>
                <c:pt idx="0">
                  <c:v>Salesperson</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chart'!$A$3:$A$8</c:f>
              <c:strCache>
                <c:ptCount val="5"/>
                <c:pt idx="0">
                  <c:v>Air mail</c:v>
                </c:pt>
                <c:pt idx="1">
                  <c:v>Express mail</c:v>
                </c:pt>
                <c:pt idx="2">
                  <c:v>Pickup</c:v>
                </c:pt>
                <c:pt idx="3">
                  <c:v>Regular mail</c:v>
                </c:pt>
                <c:pt idx="4">
                  <c:v>Reseller</c:v>
                </c:pt>
              </c:strCache>
            </c:strRef>
          </c:cat>
          <c:val>
            <c:numRef>
              <c:f>'Pivot chart'!$D$3:$D$8</c:f>
              <c:numCache>
                <c:formatCode>_-* #,##0\ [$CHF-100C]_-;\-* #,##0\ [$CHF-100C]_-;_-* "-"??\ [$CHF-100C]_-;_-@_-</c:formatCode>
                <c:ptCount val="5"/>
                <c:pt idx="0">
                  <c:v>78414</c:v>
                </c:pt>
                <c:pt idx="1">
                  <c:v>40372</c:v>
                </c:pt>
                <c:pt idx="2">
                  <c:v>17111</c:v>
                </c:pt>
                <c:pt idx="3">
                  <c:v>93828</c:v>
                </c:pt>
                <c:pt idx="4">
                  <c:v>7795</c:v>
                </c:pt>
              </c:numCache>
            </c:numRef>
          </c:val>
          <c:extLst>
            <c:ext xmlns:c16="http://schemas.microsoft.com/office/drawing/2014/chart" uri="{C3380CC4-5D6E-409C-BE32-E72D297353CC}">
              <c16:uniqueId val="{00000002-4246-4DB9-9CF5-EB8B147A0E54}"/>
            </c:ext>
          </c:extLst>
        </c:ser>
        <c:ser>
          <c:idx val="3"/>
          <c:order val="3"/>
          <c:tx>
            <c:strRef>
              <c:f>'Pivot chart'!$E$1:$E$2</c:f>
              <c:strCache>
                <c:ptCount val="1"/>
                <c:pt idx="0">
                  <c:v>Store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chart'!$A$3:$A$8</c:f>
              <c:strCache>
                <c:ptCount val="5"/>
                <c:pt idx="0">
                  <c:v>Air mail</c:v>
                </c:pt>
                <c:pt idx="1">
                  <c:v>Express mail</c:v>
                </c:pt>
                <c:pt idx="2">
                  <c:v>Pickup</c:v>
                </c:pt>
                <c:pt idx="3">
                  <c:v>Regular mail</c:v>
                </c:pt>
                <c:pt idx="4">
                  <c:v>Reseller</c:v>
                </c:pt>
              </c:strCache>
            </c:strRef>
          </c:cat>
          <c:val>
            <c:numRef>
              <c:f>'Pivot chart'!$E$3:$E$8</c:f>
              <c:numCache>
                <c:formatCode>_-* #,##0\ [$CHF-100C]_-;\-* #,##0\ [$CHF-100C]_-;_-* "-"??\ [$CHF-100C]_-;_-@_-</c:formatCode>
                <c:ptCount val="5"/>
                <c:pt idx="0">
                  <c:v>113863</c:v>
                </c:pt>
                <c:pt idx="1">
                  <c:v>50370</c:v>
                </c:pt>
                <c:pt idx="2">
                  <c:v>32366</c:v>
                </c:pt>
                <c:pt idx="3">
                  <c:v>13309</c:v>
                </c:pt>
                <c:pt idx="4">
                  <c:v>109048</c:v>
                </c:pt>
              </c:numCache>
            </c:numRef>
          </c:val>
          <c:extLst>
            <c:ext xmlns:c16="http://schemas.microsoft.com/office/drawing/2014/chart" uri="{C3380CC4-5D6E-409C-BE32-E72D297353CC}">
              <c16:uniqueId val="{00000003-4246-4DB9-9CF5-EB8B147A0E54}"/>
            </c:ext>
          </c:extLst>
        </c:ser>
        <c:dLbls>
          <c:showLegendKey val="0"/>
          <c:showVal val="0"/>
          <c:showCatName val="0"/>
          <c:showSerName val="0"/>
          <c:showPercent val="0"/>
          <c:showBubbleSize val="0"/>
        </c:dLbls>
        <c:gapWidth val="150"/>
        <c:overlap val="100"/>
        <c:axId val="320104880"/>
        <c:axId val="320108240"/>
      </c:barChart>
      <c:catAx>
        <c:axId val="320104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0108240"/>
        <c:crosses val="autoZero"/>
        <c:auto val="1"/>
        <c:lblAlgn val="ctr"/>
        <c:lblOffset val="100"/>
        <c:noMultiLvlLbl val="0"/>
      </c:catAx>
      <c:valAx>
        <c:axId val="320108240"/>
        <c:scaling>
          <c:orientation val="minMax"/>
        </c:scaling>
        <c:delete val="0"/>
        <c:axPos val="l"/>
        <c:majorGridlines>
          <c:spPr>
            <a:ln w="9525" cap="flat" cmpd="sng" algn="ctr">
              <a:solidFill>
                <a:schemeClr val="lt1">
                  <a:lumMod val="95000"/>
                  <a:alpha val="10000"/>
                </a:schemeClr>
              </a:solidFill>
              <a:round/>
            </a:ln>
            <a:effectLst/>
          </c:spPr>
        </c:majorGridlines>
        <c:numFmt formatCode="_-* #,##0\ [$CHF-100C]_-;\-* #,##0\ [$CHF-100C]_-;_-* &quot;-&quot;??\ [$CHF-100C]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0104880"/>
        <c:crosses val="autoZero"/>
        <c:crossBetween val="between"/>
      </c:valAx>
      <c:spPr>
        <a:noFill/>
        <a:ln>
          <a:noFill/>
        </a:ln>
        <a:effectLst/>
      </c:spPr>
    </c:plotArea>
    <c:legend>
      <c:legendPos val="r"/>
      <c:layout>
        <c:manualLayout>
          <c:xMode val="edge"/>
          <c:yMode val="edge"/>
          <c:x val="0.757141954888775"/>
          <c:y val="5.4004071355061155E-2"/>
          <c:w val="0.15870288403298699"/>
          <c:h val="0.179462852443943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314324</xdr:colOff>
      <xdr:row>0</xdr:row>
      <xdr:rowOff>42862</xdr:rowOff>
    </xdr:from>
    <xdr:to>
      <xdr:col>14</xdr:col>
      <xdr:colOff>266699</xdr:colOff>
      <xdr:row>27</xdr:row>
      <xdr:rowOff>133350</xdr:rowOff>
    </xdr:to>
    <xdr:graphicFrame macro="">
      <xdr:nvGraphicFramePr>
        <xdr:cNvPr id="2" name="Chart 1">
          <a:extLst>
            <a:ext uri="{FF2B5EF4-FFF2-40B4-BE49-F238E27FC236}">
              <a16:creationId xmlns:a16="http://schemas.microsoft.com/office/drawing/2014/main" id="{4270E4EA-26CE-2B0C-276B-CE4B2D07B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9524</xdr:colOff>
      <xdr:row>18</xdr:row>
      <xdr:rowOff>0</xdr:rowOff>
    </xdr:from>
    <xdr:to>
      <xdr:col>20</xdr:col>
      <xdr:colOff>590549</xdr:colOff>
      <xdr:row>32</xdr:row>
      <xdr:rowOff>0</xdr:rowOff>
    </xdr:to>
    <mc:AlternateContent xmlns:mc="http://schemas.openxmlformats.org/markup-compatibility/2006">
      <mc:Choice xmlns:a14="http://schemas.microsoft.com/office/drawing/2010/main" Requires="a14">
        <xdr:graphicFrame macro="">
          <xdr:nvGraphicFramePr>
            <xdr:cNvPr id="3" name="Prod">
              <a:extLst>
                <a:ext uri="{FF2B5EF4-FFF2-40B4-BE49-F238E27FC236}">
                  <a16:creationId xmlns:a16="http://schemas.microsoft.com/office/drawing/2014/main" id="{A741CE76-1FD5-B2AC-D7FC-A4ACDE808958}"/>
                </a:ext>
              </a:extLst>
            </xdr:cNvPr>
            <xdr:cNvGraphicFramePr/>
          </xdr:nvGraphicFramePr>
          <xdr:xfrm>
            <a:off x="0" y="0"/>
            <a:ext cx="0" cy="0"/>
          </xdr:xfrm>
          <a:graphic>
            <a:graphicData uri="http://schemas.microsoft.com/office/drawing/2010/slicer">
              <sle:slicer xmlns:sle="http://schemas.microsoft.com/office/drawing/2010/slicer" name="Prod"/>
            </a:graphicData>
          </a:graphic>
        </xdr:graphicFrame>
      </mc:Choice>
      <mc:Fallback>
        <xdr:sp macro="" textlink="">
          <xdr:nvSpPr>
            <xdr:cNvPr id="0" name=""/>
            <xdr:cNvSpPr>
              <a:spLocks noTextEdit="1"/>
            </xdr:cNvSpPr>
          </xdr:nvSpPr>
          <xdr:spPr>
            <a:xfrm>
              <a:off x="9610724" y="3429000"/>
              <a:ext cx="3629025"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12</xdr:row>
      <xdr:rowOff>47625</xdr:rowOff>
    </xdr:from>
    <xdr:to>
      <xdr:col>18</xdr:col>
      <xdr:colOff>457200</xdr:colOff>
      <xdr:row>17</xdr:row>
      <xdr:rowOff>114300</xdr:rowOff>
    </xdr:to>
    <mc:AlternateContent xmlns:mc="http://schemas.openxmlformats.org/markup-compatibility/2006">
      <mc:Choice xmlns:a14="http://schemas.microsoft.com/office/drawing/2010/main" Requires="a14">
        <xdr:graphicFrame macro="">
          <xdr:nvGraphicFramePr>
            <xdr:cNvPr id="4" name="Channel">
              <a:extLst>
                <a:ext uri="{FF2B5EF4-FFF2-40B4-BE49-F238E27FC236}">
                  <a16:creationId xmlns:a16="http://schemas.microsoft.com/office/drawing/2014/main" id="{DD84ACED-09C8-0EFB-10FF-56D65DB63AD5}"/>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9639300" y="2333625"/>
              <a:ext cx="2247900" cy="1019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38099</xdr:colOff>
      <xdr:row>5</xdr:row>
      <xdr:rowOff>9525</xdr:rowOff>
    </xdr:from>
    <xdr:to>
      <xdr:col>18</xdr:col>
      <xdr:colOff>428624</xdr:colOff>
      <xdr:row>11</xdr:row>
      <xdr:rowOff>114300</xdr:rowOff>
    </xdr:to>
    <mc:AlternateContent xmlns:mc="http://schemas.openxmlformats.org/markup-compatibility/2006">
      <mc:Choice xmlns:a14="http://schemas.microsoft.com/office/drawing/2010/main" Requires="a14">
        <xdr:graphicFrame macro="">
          <xdr:nvGraphicFramePr>
            <xdr:cNvPr id="5" name="Delivery">
              <a:extLst>
                <a:ext uri="{FF2B5EF4-FFF2-40B4-BE49-F238E27FC236}">
                  <a16:creationId xmlns:a16="http://schemas.microsoft.com/office/drawing/2014/main" id="{9CBC57E6-A16B-A99F-20E8-FA7243004586}"/>
                </a:ext>
              </a:extLst>
            </xdr:cNvPr>
            <xdr:cNvGraphicFramePr/>
          </xdr:nvGraphicFramePr>
          <xdr:xfrm>
            <a:off x="0" y="0"/>
            <a:ext cx="0" cy="0"/>
          </xdr:xfrm>
          <a:graphic>
            <a:graphicData uri="http://schemas.microsoft.com/office/drawing/2010/slicer">
              <sle:slicer xmlns:sle="http://schemas.microsoft.com/office/drawing/2010/slicer" name="Delivery"/>
            </a:graphicData>
          </a:graphic>
        </xdr:graphicFrame>
      </mc:Choice>
      <mc:Fallback>
        <xdr:sp macro="" textlink="">
          <xdr:nvSpPr>
            <xdr:cNvPr id="0" name=""/>
            <xdr:cNvSpPr>
              <a:spLocks noTextEdit="1"/>
            </xdr:cNvSpPr>
          </xdr:nvSpPr>
          <xdr:spPr>
            <a:xfrm>
              <a:off x="9639299" y="962025"/>
              <a:ext cx="2219325"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47625</xdr:colOff>
      <xdr:row>0</xdr:row>
      <xdr:rowOff>161925</xdr:rowOff>
    </xdr:from>
    <xdr:to>
      <xdr:col>18</xdr:col>
      <xdr:colOff>409575</xdr:colOff>
      <xdr:row>4</xdr:row>
      <xdr:rowOff>133350</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75ECE8F5-6670-3AF6-6761-1F06D33CB20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648825" y="161925"/>
              <a:ext cx="2190750"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271461</xdr:colOff>
      <xdr:row>0</xdr:row>
      <xdr:rowOff>61911</xdr:rowOff>
    </xdr:from>
    <xdr:to>
      <xdr:col>13</xdr:col>
      <xdr:colOff>485774</xdr:colOff>
      <xdr:row>19</xdr:row>
      <xdr:rowOff>47624</xdr:rowOff>
    </xdr:to>
    <xdr:graphicFrame macro="">
      <xdr:nvGraphicFramePr>
        <xdr:cNvPr id="2" name="Chart 1">
          <a:extLst>
            <a:ext uri="{FF2B5EF4-FFF2-40B4-BE49-F238E27FC236}">
              <a16:creationId xmlns:a16="http://schemas.microsoft.com/office/drawing/2014/main" id="{7E365AA4-3969-381D-AF97-E4BBB34C0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14287</xdr:colOff>
      <xdr:row>3</xdr:row>
      <xdr:rowOff>57149</xdr:rowOff>
    </xdr:from>
    <xdr:to>
      <xdr:col>18</xdr:col>
      <xdr:colOff>123825</xdr:colOff>
      <xdr:row>36</xdr:row>
      <xdr:rowOff>171450</xdr:rowOff>
    </xdr:to>
    <xdr:graphicFrame macro="">
      <xdr:nvGraphicFramePr>
        <xdr:cNvPr id="4" name="Chart 3">
          <a:extLst>
            <a:ext uri="{FF2B5EF4-FFF2-40B4-BE49-F238E27FC236}">
              <a16:creationId xmlns:a16="http://schemas.microsoft.com/office/drawing/2014/main" id="{106EC37B-8E00-379D-7AC9-C724F8111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104775</xdr:colOff>
      <xdr:row>17</xdr:row>
      <xdr:rowOff>66675</xdr:rowOff>
    </xdr:from>
    <xdr:to>
      <xdr:col>13</xdr:col>
      <xdr:colOff>0</xdr:colOff>
      <xdr:row>42</xdr:row>
      <xdr:rowOff>142875</xdr:rowOff>
    </xdr:to>
    <xdr:graphicFrame macro="">
      <xdr:nvGraphicFramePr>
        <xdr:cNvPr id="2" name="Chart 1">
          <a:extLst>
            <a:ext uri="{FF2B5EF4-FFF2-40B4-BE49-F238E27FC236}">
              <a16:creationId xmlns:a16="http://schemas.microsoft.com/office/drawing/2014/main" id="{FAEB4D71-14E1-599F-66C5-626F5F8A0F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304799</xdr:colOff>
      <xdr:row>0</xdr:row>
      <xdr:rowOff>61912</xdr:rowOff>
    </xdr:from>
    <xdr:to>
      <xdr:col>20</xdr:col>
      <xdr:colOff>257175</xdr:colOff>
      <xdr:row>20</xdr:row>
      <xdr:rowOff>76200</xdr:rowOff>
    </xdr:to>
    <xdr:graphicFrame macro="">
      <xdr:nvGraphicFramePr>
        <xdr:cNvPr id="2" name="Chart 1">
          <a:extLst>
            <a:ext uri="{FF2B5EF4-FFF2-40B4-BE49-F238E27FC236}">
              <a16:creationId xmlns:a16="http://schemas.microsoft.com/office/drawing/2014/main" id="{2CA77736-8364-9DE6-2736-B46103BE33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333375</xdr:colOff>
      <xdr:row>20</xdr:row>
      <xdr:rowOff>161925</xdr:rowOff>
    </xdr:from>
    <xdr:to>
      <xdr:col>15</xdr:col>
      <xdr:colOff>409575</xdr:colOff>
      <xdr:row>28</xdr:row>
      <xdr:rowOff>9525</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036624F0-41B1-7B67-7E8C-257AB83AA22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8258175" y="3971925"/>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20</xdr:row>
      <xdr:rowOff>128586</xdr:rowOff>
    </xdr:from>
    <xdr:to>
      <xdr:col>10</xdr:col>
      <xdr:colOff>828675</xdr:colOff>
      <xdr:row>42</xdr:row>
      <xdr:rowOff>95249</xdr:rowOff>
    </xdr:to>
    <xdr:graphicFrame macro="">
      <xdr:nvGraphicFramePr>
        <xdr:cNvPr id="2" name="Chart 1">
          <a:extLst>
            <a:ext uri="{FF2B5EF4-FFF2-40B4-BE49-F238E27FC236}">
              <a16:creationId xmlns:a16="http://schemas.microsoft.com/office/drawing/2014/main" id="{99488803-D774-EBA9-53F9-13EBADC13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85724</xdr:colOff>
      <xdr:row>1</xdr:row>
      <xdr:rowOff>14287</xdr:rowOff>
    </xdr:from>
    <xdr:to>
      <xdr:col>15</xdr:col>
      <xdr:colOff>38099</xdr:colOff>
      <xdr:row>26</xdr:row>
      <xdr:rowOff>28575</xdr:rowOff>
    </xdr:to>
    <xdr:graphicFrame macro="">
      <xdr:nvGraphicFramePr>
        <xdr:cNvPr id="2" name="Chart 1">
          <a:extLst>
            <a:ext uri="{FF2B5EF4-FFF2-40B4-BE49-F238E27FC236}">
              <a16:creationId xmlns:a16="http://schemas.microsoft.com/office/drawing/2014/main" id="{2F609C37-07F5-648F-6CC4-41248F0FF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dovic Moreau" refreshedDate="46173.746909953705" createdVersion="8" refreshedVersion="8" minRefreshableVersion="3" recordCount="163" xr:uid="{CA1CBBD6-CA28-4E1E-B253-AA3CD4F3547A}">
  <cacheSource type="worksheet">
    <worksheetSource name="tbl_Sales4"/>
  </cacheSource>
  <cacheFields count="9">
    <cacheField name="Date" numFmtId="14">
      <sharedItems containsSemiMixedTypes="0" containsNonDate="0" containsDate="1" containsString="0" minDate="2021-01-12T00:00:00" maxDate="2022-09-03T00:00:00"/>
    </cacheField>
    <cacheField name="Prod" numFmtId="0">
      <sharedItems/>
    </cacheField>
    <cacheField name="Channel" numFmtId="0">
      <sharedItems count="6">
        <s v="Salesperson"/>
        <s v="Internet"/>
        <s v="Phone"/>
        <s v="Store"/>
        <s v="Offline" f="1"/>
        <s v="Online" f="1"/>
      </sharedItems>
    </cacheField>
    <cacheField name="Delivery" numFmtId="0">
      <sharedItems/>
    </cacheField>
    <cacheField name="Qty" numFmtId="0">
      <sharedItems containsSemiMixedTypes="0" containsString="0" containsNumber="1" containsInteger="1" minValue="1" maxValue="25"/>
    </cacheField>
    <cacheField name="Unit cost" numFmtId="0">
      <sharedItems containsSemiMixedTypes="0" containsString="0" containsNumber="1" containsInteger="1" minValue="105" maxValue="478"/>
    </cacheField>
    <cacheField name="Unit price" numFmtId="0">
      <sharedItems containsSemiMixedTypes="0" containsString="0" containsNumber="1" containsInteger="1" minValue="147" maxValue="669"/>
    </cacheField>
    <cacheField name="Total Sale" numFmtId="0">
      <sharedItems containsSemiMixedTypes="0" containsString="0" containsNumber="1" containsInteger="1" minValue="378" maxValue="16056"/>
    </cacheField>
    <cacheField name="Margin" numFmtId="0">
      <sharedItems containsSemiMixedTypes="0" containsString="0" containsNumber="1" containsInteger="1" minValue="108" maxValue="4584"/>
    </cacheField>
  </cacheFields>
  <calculatedItems count="2">
    <calculatedItem formula="Channel[Phone] +Channel[Salesperson] +Channel[Store]">
      <pivotArea cacheIndex="1" outline="0" fieldPosition="0">
        <references count="1">
          <reference field="2" count="1">
            <x v="4"/>
          </reference>
        </references>
      </pivotArea>
    </calculatedItem>
    <calculatedItem formula="Channel[Internet]">
      <pivotArea cacheIndex="1" outline="0" fieldPosition="0">
        <references count="1">
          <reference field="2" count="1">
            <x v="5"/>
          </reference>
        </references>
      </pivotArea>
    </calculatedItem>
  </calculatedItem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dovic Moreau" refreshedDate="46173.746910300928" createdVersion="8" refreshedVersion="8" minRefreshableVersion="3" recordCount="220" xr:uid="{AFE14DB9-7E7C-4D26-ADDE-7834E33F3B3D}">
  <cacheSource type="worksheet">
    <worksheetSource name="tbl_Sales"/>
  </cacheSource>
  <cacheFields count="13">
    <cacheField name="Date" numFmtId="14">
      <sharedItems containsSemiMixedTypes="0" containsNonDate="0" containsDate="1" containsString="0" minDate="2021-01-12T00:00:00" maxDate="2022-12-29T00:00:00" count="105">
        <d v="2022-09-02T00:00:00"/>
        <d v="2022-08-27T00:00:00"/>
        <d v="2022-08-21T00:00:00"/>
        <d v="2022-08-15T00:00:00"/>
        <d v="2022-08-09T00:00:00"/>
        <d v="2022-08-03T00:00:00"/>
        <d v="2022-07-28T00:00:00"/>
        <d v="2022-07-22T00:00:00"/>
        <d v="2022-07-16T00:00:00"/>
        <d v="2022-07-10T00:00:00"/>
        <d v="2022-07-04T00:00:00"/>
        <d v="2022-06-28T00:00:00"/>
        <d v="2022-06-22T00:00:00"/>
        <d v="2022-06-16T00:00:00"/>
        <d v="2022-06-10T00:00:00"/>
        <d v="2022-06-04T00:00:00"/>
        <d v="2022-05-29T00:00:00"/>
        <d v="2022-05-23T00:00:00"/>
        <d v="2022-05-17T00:00:00"/>
        <d v="2022-05-11T00:00:00"/>
        <d v="2022-05-05T00:00:00"/>
        <d v="2022-04-29T00:00:00"/>
        <d v="2022-04-23T00:00:00"/>
        <d v="2022-04-17T00:00:00"/>
        <d v="2022-04-11T00:00:00"/>
        <d v="2022-04-05T00:00:00"/>
        <d v="2022-03-30T00:00:00"/>
        <d v="2022-03-24T00:00:00"/>
        <d v="2022-03-18T00:00:00"/>
        <d v="2022-03-12T00:00:00"/>
        <d v="2022-03-06T00:00:00"/>
        <d v="2022-02-28T00:00:00"/>
        <d v="2022-02-22T00:00:00"/>
        <d v="2022-02-16T00:00:00"/>
        <d v="2022-02-10T00:00:00"/>
        <d v="2022-02-04T00:00:00"/>
        <d v="2022-01-29T00:00:00"/>
        <d v="2022-01-23T00:00:00"/>
        <d v="2022-01-17T00:00:00"/>
        <d v="2022-01-11T00:00:00"/>
        <d v="2021-12-17T00:00:00"/>
        <d v="2021-12-10T00:00:00"/>
        <d v="2021-12-05T00:00:00"/>
        <d v="2021-11-28T00:00:00"/>
        <d v="2021-11-21T00:00:00"/>
        <d v="2021-11-14T00:00:00"/>
        <d v="2021-11-07T00:00:00"/>
        <d v="2021-10-12T00:00:00"/>
        <d v="2021-10-05T00:00:00"/>
        <d v="2021-09-28T00:00:00"/>
        <d v="2021-09-21T00:00:00"/>
        <d v="2021-09-14T00:00:00"/>
        <d v="2021-09-07T00:00:00"/>
        <d v="2021-08-31T00:00:00"/>
        <d v="2021-08-24T00:00:00"/>
        <d v="2021-08-17T00:00:00"/>
        <d v="2021-08-10T00:00:00"/>
        <d v="2021-08-03T00:00:00"/>
        <d v="2021-07-27T00:00:00"/>
        <d v="2021-07-20T00:00:00"/>
        <d v="2021-07-13T00:00:00"/>
        <d v="2021-07-06T00:00:00"/>
        <d v="2021-06-29T00:00:00"/>
        <d v="2021-06-22T00:00:00"/>
        <d v="2021-06-15T00:00:00"/>
        <d v="2021-06-08T00:00:00"/>
        <d v="2021-06-01T00:00:00"/>
        <d v="2021-05-25T00:00:00"/>
        <d v="2021-05-18T00:00:00"/>
        <d v="2021-05-11T00:00:00"/>
        <d v="2021-05-04T00:00:00"/>
        <d v="2021-04-27T00:00:00"/>
        <d v="2021-04-20T00:00:00"/>
        <d v="2021-04-13T00:00:00"/>
        <d v="2021-04-06T00:00:00"/>
        <d v="2021-03-30T00:00:00"/>
        <d v="2021-03-23T00:00:00"/>
        <d v="2021-03-16T00:00:00"/>
        <d v="2021-03-09T00:00:00"/>
        <d v="2021-03-02T00:00:00"/>
        <d v="2021-02-23T00:00:00"/>
        <d v="2021-02-16T00:00:00"/>
        <d v="2021-02-09T00:00:00"/>
        <d v="2021-02-02T00:00:00"/>
        <d v="2021-01-26T00:00:00"/>
        <d v="2021-01-19T00:00:00"/>
        <d v="2021-01-12T00:00:00"/>
        <d v="2022-10-02T00:00:00"/>
        <d v="2022-10-03T00:00:00"/>
        <d v="2022-10-09T00:00:00"/>
        <d v="2022-10-15T00:00:00"/>
        <d v="2022-10-21T00:00:00"/>
        <d v="2022-10-23T00:00:00"/>
        <d v="2022-10-27T00:00:00"/>
        <d v="2022-10-29T00:00:00"/>
        <d v="2022-11-04T00:00:00"/>
        <d v="2022-11-10T00:00:00"/>
        <d v="2022-11-16T00:00:00"/>
        <d v="2022-11-22T00:00:00"/>
        <d v="2022-11-28T00:00:00"/>
        <d v="2022-12-04T00:00:00"/>
        <d v="2022-12-10T00:00:00"/>
        <d v="2022-12-16T00:00:00"/>
        <d v="2022-12-22T00:00:00"/>
        <d v="2022-12-28T00:00:00"/>
      </sharedItems>
      <fieldGroup par="11"/>
    </cacheField>
    <cacheField name="Prod" numFmtId="0">
      <sharedItems count="16">
        <s v="Natural skincare"/>
        <s v="Recycled shopipng bag"/>
        <s v="Massage gun"/>
        <s v="Home decor"/>
        <s v="Wireless charger"/>
        <s v="Phone case"/>
        <s v="LED lighting"/>
        <s v="Running hoodie"/>
        <s v="Pet accessory"/>
        <s v="Premium pet food"/>
        <s v="Organic socks"/>
        <s v="Bluetooth earbuds"/>
        <s v="Air purifier"/>
        <s v="Bamboo toothbrush"/>
        <s v="Reusable water bottle"/>
        <s v="Natural skincare0" u="1"/>
      </sharedItems>
    </cacheField>
    <cacheField name="Channel" numFmtId="0">
      <sharedItems count="4">
        <s v="Salesperson"/>
        <s v="Internet"/>
        <s v="Phone"/>
        <s v="Store"/>
      </sharedItems>
    </cacheField>
    <cacheField name="Delivery" numFmtId="0">
      <sharedItems count="5">
        <s v="Air mail"/>
        <s v="Regular mail"/>
        <s v="Pickup"/>
        <s v="Reseller"/>
        <s v="Express mail"/>
      </sharedItems>
    </cacheField>
    <cacheField name="Qty" numFmtId="0">
      <sharedItems containsSemiMixedTypes="0" containsString="0" containsNumber="1" containsInteger="1" minValue="1" maxValue="25"/>
    </cacheField>
    <cacheField name="Unit cost" numFmtId="0">
      <sharedItems containsSemiMixedTypes="0" containsString="0" containsNumber="1" containsInteger="1" minValue="105" maxValue="478"/>
    </cacheField>
    <cacheField name="Unit price" numFmtId="0">
      <sharedItems containsSemiMixedTypes="0" containsString="0" containsNumber="1" containsInteger="1" minValue="147" maxValue="711"/>
    </cacheField>
    <cacheField name="Total Sale" numFmtId="0">
      <sharedItems containsSemiMixedTypes="0" containsString="0" containsNumber="1" containsInteger="1" minValue="378" maxValue="16056" count="182">
        <n v="3360"/>
        <n v="10780"/>
        <n v="4620"/>
        <n v="6942"/>
        <n v="5292"/>
        <n v="2670"/>
        <n v="1470"/>
        <n v="6573"/>
        <n v="2793"/>
        <n v="8085"/>
        <n v="4776"/>
        <n v="7560"/>
        <n v="8533"/>
        <n v="3443"/>
        <n v="13087"/>
        <n v="13731"/>
        <n v="11533"/>
        <n v="9275"/>
        <n v="11638"/>
        <n v="3983"/>
        <n v="10035"/>
        <n v="3035"/>
        <n v="2384"/>
        <n v="6578"/>
        <n v="9240"/>
        <n v="14049"/>
        <n v="6783"/>
        <n v="3890"/>
        <n v="15840"/>
        <n v="2880"/>
        <n v="5712"/>
        <n v="5304"/>
        <n v="2723"/>
        <n v="4466"/>
        <n v="5184"/>
        <n v="9576"/>
        <n v="11934"/>
        <n v="3130"/>
        <n v="1595"/>
        <n v="6552"/>
        <n v="5194"/>
        <n v="8820"/>
        <n v="10811"/>
        <n v="4272"/>
        <n v="6070"/>
        <n v="2352"/>
        <n v="11132"/>
        <n v="2695"/>
        <n v="13380"/>
        <n v="6258"/>
        <n v="1878"/>
        <n v="10746"/>
        <n v="7980"/>
        <n v="2226"/>
        <n v="12282"/>
        <n v="4552"/>
        <n v="2205"/>
        <n v="8498"/>
        <n v="9614"/>
        <n v="4914"/>
        <n v="6690"/>
        <n v="5662"/>
        <n v="11220"/>
        <n v="3710"/>
        <n v="1785"/>
        <n v="5057"/>
        <n v="6048"/>
        <n v="4200"/>
        <n v="3190"/>
        <n v="11380"/>
        <n v="1764"/>
        <n v="6886"/>
        <n v="11940"/>
        <n v="7791"/>
        <n v="13656"/>
        <n v="5460"/>
        <n v="3738"/>
        <n v="3528"/>
        <n v="5929"/>
        <n v="2268"/>
        <n v="939"/>
        <n v="1791"/>
        <n v="1012"/>
        <n v="420"/>
        <n v="4249"/>
        <n v="1518"/>
        <n v="588"/>
        <n v="2007"/>
        <n v="4851"/>
        <n v="2682"/>
        <n v="378"/>
        <n v="1980"/>
        <n v="1565"/>
        <n v="1194"/>
        <n v="4279"/>
        <n v="1855"/>
        <n v="3456"/>
        <n v="7966"/>
        <n v="3315"/>
        <n v="13354"/>
        <n v="4147"/>
        <n v="10120"/>
        <n v="5040"/>
        <n v="7152"/>
        <n v="7476"/>
        <n v="15180"/>
        <n v="1323"/>
        <n v="3773"/>
        <n v="2334"/>
        <n v="1890"/>
        <n v="2304"/>
        <n v="3756"/>
        <n v="2985"/>
        <n v="2276"/>
        <n v="7891"/>
        <n v="7084"/>
        <n v="16056"/>
        <n v="2980"/>
        <n v="1490"/>
        <n v="7920"/>
        <n v="7140"/>
        <n v="8947"/>
        <n v="5446"/>
        <n v="3168"/>
        <n v="5967"/>
        <n v="2233"/>
        <n v="638"/>
        <n v="4032"/>
        <n v="2016"/>
        <n v="4725"/>
        <n v="794"/>
        <n v="615"/>
        <n v="3762"/>
        <n v="1008"/>
        <n v="1638"/>
        <n v="6399"/>
        <n v="2025"/>
        <n v="1176"/>
        <n v="3486"/>
        <n v="1710"/>
        <n v="2715"/>
        <n v="5120"/>
        <n v="577"/>
        <n v="504"/>
        <n v="1302"/>
        <n v="2983"/>
        <n v="3336"/>
        <n v="7110"/>
        <n v="1344"/>
        <n v="3660"/>
        <n v="4584"/>
        <n v="4417"/>
        <n v="7602"/>
        <n v="3240"/>
        <n v="3780"/>
        <n v="7161"/>
        <n v="5770"/>
        <n v="2945"/>
        <n v="4880"/>
        <n v="2355"/>
        <n v="3920"/>
        <n v="3176"/>
        <n v="3438"/>
        <n v="6171"/>
        <n v="8320"/>
        <n v="5400"/>
        <n v="5733"/>
        <n v="1680"/>
        <n v="4446"/>
        <n v="2744"/>
        <n v="6075"/>
        <n v="3555"/>
        <n v="5352"/>
        <n v="7501"/>
        <n v="9114"/>
        <n v="8421"/>
        <n v="4900"/>
        <n v="8022"/>
        <n v="3970"/>
        <n v="2800"/>
        <n v="4320"/>
        <n v="4480"/>
      </sharedItems>
      <fieldGroup base="7">
        <rangePr autoStart="0" startNum="0" endNum="16056" groupInterval="1000"/>
        <groupItems count="19">
          <s v="&lt;0"/>
          <s v="0-999"/>
          <s v="1000-1999"/>
          <s v="2000-2999"/>
          <s v="3000-3999"/>
          <s v="4000-4999"/>
          <s v="5000-5999"/>
          <s v="6000-6999"/>
          <s v="7000-7999"/>
          <s v="8000-8999"/>
          <s v="9000-9999"/>
          <s v="10000-10999"/>
          <s v="11000-11999"/>
          <s v="12000-12999"/>
          <s v="13000-13999"/>
          <s v="14000-14999"/>
          <s v="15000-15999"/>
          <s v="16000-16999"/>
          <s v="&gt;17000"/>
        </groupItems>
      </fieldGroup>
    </cacheField>
    <cacheField name="Margin" numFmtId="0">
      <sharedItems containsSemiMixedTypes="0" containsString="0" containsNumber="1" containsInteger="1" minValue="-4032" maxValue="4584"/>
    </cacheField>
    <cacheField name="Months (Date)" numFmtId="0" databaseField="0">
      <fieldGroup base="0">
        <rangePr groupBy="months" startDate="2021-01-12T00:00:00" endDate="2022-12-29T00:00:00"/>
        <groupItems count="14">
          <s v="&lt;12.01.2021"/>
          <s v="janv"/>
          <s v="févr"/>
          <s v="mars"/>
          <s v="avr"/>
          <s v="mai"/>
          <s v="juin"/>
          <s v="juil"/>
          <s v="août"/>
          <s v="sept"/>
          <s v="oct"/>
          <s v="nov"/>
          <s v="déc"/>
          <s v="&gt;29.12.2022"/>
        </groupItems>
      </fieldGroup>
    </cacheField>
    <cacheField name="Quarters (Date)" numFmtId="0" databaseField="0">
      <fieldGroup base="0">
        <rangePr groupBy="quarters" startDate="2021-01-12T00:00:00" endDate="2022-12-29T00:00:00"/>
        <groupItems count="6">
          <s v="&lt;12.01.2021"/>
          <s v="Qtr1"/>
          <s v="Qtr2"/>
          <s v="Qtr3"/>
          <s v="Qtr4"/>
          <s v="&gt;29.12.2022"/>
        </groupItems>
      </fieldGroup>
    </cacheField>
    <cacheField name="Years (Date)" numFmtId="0" databaseField="0">
      <fieldGroup base="0">
        <rangePr groupBy="years" startDate="2021-01-12T00:00:00" endDate="2022-12-29T00:00:00"/>
        <groupItems count="4">
          <s v="&lt;12.01.2021"/>
          <s v="2021"/>
          <s v="2022"/>
          <s v="&gt;29.12.2022"/>
        </groupItems>
      </fieldGroup>
    </cacheField>
    <cacheField name="SalesWithTax" numFmtId="0" formula="'Total Sale' *1.081" databaseField="0"/>
  </cacheFields>
  <extLst>
    <ext xmlns:x14="http://schemas.microsoft.com/office/spreadsheetml/2009/9/main" uri="{725AE2AE-9491-48be-B2B4-4EB974FC3084}">
      <x14:pivotCacheDefinition pivotCacheId="10511188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
  <r>
    <d v="2022-09-02T00:00:00"/>
    <s v="Natural skincare"/>
    <x v="0"/>
    <s v="Air mail"/>
    <n v="8"/>
    <n v="300"/>
    <n v="420"/>
    <n v="3360"/>
    <n v="960"/>
  </r>
  <r>
    <d v="2022-09-02T00:00:00"/>
    <s v="Recycled shopipng bag"/>
    <x v="0"/>
    <s v="Regular mail"/>
    <n v="20"/>
    <n v="385"/>
    <n v="539"/>
    <n v="10780"/>
    <n v="3080"/>
  </r>
  <r>
    <d v="2022-09-02T00:00:00"/>
    <s v="Natural skincare"/>
    <x v="1"/>
    <s v="Pickup"/>
    <n v="11"/>
    <n v="300"/>
    <n v="420"/>
    <n v="4620"/>
    <n v="1320"/>
  </r>
  <r>
    <d v="2022-08-27T00:00:00"/>
    <s v="Massage gun"/>
    <x v="2"/>
    <s v="Pickup"/>
    <n v="13"/>
    <n v="382"/>
    <n v="534"/>
    <n v="6942"/>
    <n v="1976"/>
  </r>
  <r>
    <d v="2022-08-27T00:00:00"/>
    <s v="Home decor"/>
    <x v="3"/>
    <s v="Air mail"/>
    <n v="14"/>
    <n v="270"/>
    <n v="378"/>
    <n v="5292"/>
    <n v="1512"/>
  </r>
  <r>
    <d v="2022-08-27T00:00:00"/>
    <s v="Massage gun"/>
    <x v="1"/>
    <s v="Pickup"/>
    <n v="5"/>
    <n v="382"/>
    <n v="534"/>
    <n v="2670"/>
    <n v="760"/>
  </r>
  <r>
    <d v="2022-08-21T00:00:00"/>
    <s v="Recycled shopipng bag"/>
    <x v="1"/>
    <s v="Pickup"/>
    <n v="10"/>
    <n v="105"/>
    <n v="147"/>
    <n v="1470"/>
    <n v="420"/>
  </r>
  <r>
    <d v="2022-08-21T00:00:00"/>
    <s v="Home decor"/>
    <x v="0"/>
    <s v="Air mail"/>
    <n v="21"/>
    <n v="224"/>
    <n v="313"/>
    <n v="6573"/>
    <n v="1869"/>
  </r>
  <r>
    <d v="2022-08-21T00:00:00"/>
    <s v="Recycled shopipng bag"/>
    <x v="3"/>
    <s v="Reseller"/>
    <n v="19"/>
    <n v="105"/>
    <n v="147"/>
    <n v="2793"/>
    <n v="798"/>
  </r>
  <r>
    <d v="2022-08-15T00:00:00"/>
    <s v="Recycled shopipng bag"/>
    <x v="1"/>
    <s v="Express mail"/>
    <n v="15"/>
    <n v="385"/>
    <n v="539"/>
    <n v="8085"/>
    <n v="2310"/>
  </r>
  <r>
    <d v="2022-08-15T00:00:00"/>
    <s v="Wireless charger"/>
    <x v="3"/>
    <s v="Air mail"/>
    <n v="8"/>
    <n v="427"/>
    <n v="597"/>
    <n v="4776"/>
    <n v="1360"/>
  </r>
  <r>
    <d v="2022-08-09T00:00:00"/>
    <s v="Home decor"/>
    <x v="1"/>
    <s v="Pickup"/>
    <n v="20"/>
    <n v="270"/>
    <n v="378"/>
    <n v="7560"/>
    <n v="2160"/>
  </r>
  <r>
    <d v="2022-08-09T00:00:00"/>
    <s v="Wireless charger"/>
    <x v="2"/>
    <s v="Pickup"/>
    <n v="23"/>
    <n v="265"/>
    <n v="371"/>
    <n v="8533"/>
    <n v="2438"/>
  </r>
  <r>
    <d v="2022-08-03T00:00:00"/>
    <s v="Home decor"/>
    <x v="0"/>
    <s v="Air mail"/>
    <n v="11"/>
    <n v="224"/>
    <n v="313"/>
    <n v="3443"/>
    <n v="979"/>
  </r>
  <r>
    <d v="2022-08-03T00:00:00"/>
    <s v="Phone case"/>
    <x v="0"/>
    <s v="Regular mail"/>
    <n v="23"/>
    <n v="407"/>
    <n v="569"/>
    <n v="13087"/>
    <n v="3726"/>
  </r>
  <r>
    <d v="2022-07-28T00:00:00"/>
    <s v="Wireless charger"/>
    <x v="3"/>
    <s v="Air mail"/>
    <n v="23"/>
    <n v="427"/>
    <n v="597"/>
    <n v="13731"/>
    <n v="3910"/>
  </r>
  <r>
    <d v="2022-07-28T00:00:00"/>
    <s v="Phone case"/>
    <x v="1"/>
    <s v="Pickup"/>
    <n v="19"/>
    <n v="434"/>
    <n v="607"/>
    <n v="11533"/>
    <n v="3287"/>
  </r>
  <r>
    <d v="2022-07-22T00:00:00"/>
    <s v="Wireless charger"/>
    <x v="2"/>
    <s v="Pickup"/>
    <n v="25"/>
    <n v="265"/>
    <n v="371"/>
    <n v="9275"/>
    <n v="2650"/>
  </r>
  <r>
    <d v="2022-07-22T00:00:00"/>
    <s v="LED lighting"/>
    <x v="1"/>
    <s v="Express mail"/>
    <n v="23"/>
    <n v="362"/>
    <n v="506"/>
    <n v="11638"/>
    <n v="3312"/>
  </r>
  <r>
    <d v="2022-07-16T00:00:00"/>
    <s v="Phone case"/>
    <x v="0"/>
    <s v="Regular mail"/>
    <n v="7"/>
    <n v="407"/>
    <n v="569"/>
    <n v="3983"/>
    <n v="1134"/>
  </r>
  <r>
    <d v="2022-07-16T00:00:00"/>
    <s v="Running hoodie"/>
    <x v="1"/>
    <s v="Pickup"/>
    <n v="15"/>
    <n v="478"/>
    <n v="669"/>
    <n v="10035"/>
    <n v="2865"/>
  </r>
  <r>
    <d v="2022-07-10T00:00:00"/>
    <s v="Phone case"/>
    <x v="2"/>
    <s v="Pickup"/>
    <n v="5"/>
    <n v="434"/>
    <n v="607"/>
    <n v="3035"/>
    <n v="865"/>
  </r>
  <r>
    <d v="2022-07-10T00:00:00"/>
    <s v="Pet accessory"/>
    <x v="3"/>
    <s v="Express mail"/>
    <n v="8"/>
    <n v="213"/>
    <n v="298"/>
    <n v="2384"/>
    <n v="680"/>
  </r>
  <r>
    <d v="2022-07-04T00:00:00"/>
    <s v="LED lighting"/>
    <x v="0"/>
    <s v="Air mail"/>
    <n v="13"/>
    <n v="362"/>
    <n v="506"/>
    <n v="6578"/>
    <n v="1872"/>
  </r>
  <r>
    <d v="2022-07-04T00:00:00"/>
    <s v="Premium pet food"/>
    <x v="3"/>
    <s v="Reseller"/>
    <n v="14"/>
    <n v="472"/>
    <n v="660"/>
    <n v="9240"/>
    <n v="2632"/>
  </r>
  <r>
    <d v="2022-06-28T00:00:00"/>
    <s v="Running hoodie"/>
    <x v="3"/>
    <s v="Air mail"/>
    <n v="21"/>
    <n v="478"/>
    <n v="669"/>
    <n v="14049"/>
    <n v="4011"/>
  </r>
  <r>
    <d v="2022-06-28T00:00:00"/>
    <s v="Organic socks"/>
    <x v="1"/>
    <s v="Pickup"/>
    <n v="19"/>
    <n v="255"/>
    <n v="357"/>
    <n v="6783"/>
    <n v="1938"/>
  </r>
  <r>
    <d v="2022-06-22T00:00:00"/>
    <s v="Pet accessory"/>
    <x v="2"/>
    <s v="Pickup"/>
    <n v="8"/>
    <n v="213"/>
    <n v="298"/>
    <n v="2384"/>
    <n v="680"/>
  </r>
  <r>
    <d v="2022-06-22T00:00:00"/>
    <s v="Bluetooth earbuds"/>
    <x v="1"/>
    <s v="Express mail"/>
    <n v="10"/>
    <n v="278"/>
    <n v="389"/>
    <n v="3890"/>
    <n v="1110"/>
  </r>
  <r>
    <d v="2022-06-16T00:00:00"/>
    <s v="Premium pet food"/>
    <x v="0"/>
    <s v="Regular mail"/>
    <n v="24"/>
    <n v="472"/>
    <n v="660"/>
    <n v="15840"/>
    <n v="4512"/>
  </r>
  <r>
    <d v="2022-06-16T00:00:00"/>
    <s v="Air purifier"/>
    <x v="1"/>
    <s v="Pickup"/>
    <n v="10"/>
    <n v="206"/>
    <n v="288"/>
    <n v="2880"/>
    <n v="820"/>
  </r>
  <r>
    <d v="2022-06-10T00:00:00"/>
    <s v="Organic socks"/>
    <x v="2"/>
    <s v="Reseller"/>
    <n v="16"/>
    <n v="255"/>
    <n v="357"/>
    <n v="5712"/>
    <n v="1632"/>
  </r>
  <r>
    <d v="2022-06-10T00:00:00"/>
    <s v="Bamboo toothbrush"/>
    <x v="3"/>
    <s v="Pickup"/>
    <n v="8"/>
    <n v="474"/>
    <n v="663"/>
    <n v="5304"/>
    <n v="1512"/>
  </r>
  <r>
    <d v="2022-06-04T00:00:00"/>
    <s v="Bluetooth earbuds"/>
    <x v="2"/>
    <s v="Express mail"/>
    <n v="7"/>
    <n v="278"/>
    <n v="389"/>
    <n v="2723"/>
    <n v="777"/>
  </r>
  <r>
    <d v="2022-06-04T00:00:00"/>
    <s v="Natural skincare"/>
    <x v="2"/>
    <s v="Reseller"/>
    <n v="14"/>
    <n v="228"/>
    <n v="319"/>
    <n v="4466"/>
    <n v="1274"/>
  </r>
  <r>
    <d v="2022-05-29T00:00:00"/>
    <s v="Air purifier"/>
    <x v="2"/>
    <s v="Pickup"/>
    <n v="18"/>
    <n v="206"/>
    <n v="288"/>
    <n v="5184"/>
    <n v="1476"/>
  </r>
  <r>
    <d v="2022-05-29T00:00:00"/>
    <s v="Reusable water bottle"/>
    <x v="0"/>
    <s v="Express mail"/>
    <n v="19"/>
    <n v="360"/>
    <n v="504"/>
    <n v="9576"/>
    <n v="2736"/>
  </r>
  <r>
    <d v="2022-05-23T00:00:00"/>
    <s v="Bamboo toothbrush"/>
    <x v="1"/>
    <s v="Express mail"/>
    <n v="18"/>
    <n v="474"/>
    <n v="663"/>
    <n v="11934"/>
    <n v="3402"/>
  </r>
  <r>
    <d v="2022-05-23T00:00:00"/>
    <s v="Home decor"/>
    <x v="0"/>
    <s v="Pickup"/>
    <n v="10"/>
    <n v="224"/>
    <n v="313"/>
    <n v="3130"/>
    <n v="890"/>
  </r>
  <r>
    <d v="2022-05-17T00:00:00"/>
    <s v="Natural skincare"/>
    <x v="1"/>
    <s v="Air mail"/>
    <n v="5"/>
    <n v="228"/>
    <n v="319"/>
    <n v="1595"/>
    <n v="455"/>
  </r>
  <r>
    <d v="2022-05-17T00:00:00"/>
    <s v="Wireless charger"/>
    <x v="3"/>
    <s v="Reseller"/>
    <n v="8"/>
    <n v="427"/>
    <n v="597"/>
    <n v="4776"/>
    <n v="1360"/>
  </r>
  <r>
    <d v="2022-05-11T00:00:00"/>
    <s v="Reusable water bottle"/>
    <x v="0"/>
    <s v="Express mail"/>
    <n v="13"/>
    <n v="360"/>
    <n v="504"/>
    <n v="6552"/>
    <n v="1872"/>
  </r>
  <r>
    <d v="2022-05-11T00:00:00"/>
    <s v="Wireless charger"/>
    <x v="3"/>
    <s v="Express mail"/>
    <n v="14"/>
    <n v="265"/>
    <n v="371"/>
    <n v="5194"/>
    <n v="1484"/>
  </r>
  <r>
    <d v="2022-05-05T00:00:00"/>
    <s v="Natural skincare"/>
    <x v="1"/>
    <s v="Regular mail"/>
    <n v="21"/>
    <n v="300"/>
    <n v="420"/>
    <n v="8820"/>
    <n v="2520"/>
  </r>
  <r>
    <d v="2022-05-05T00:00:00"/>
    <s v="Phone case"/>
    <x v="2"/>
    <s v="Regular mail"/>
    <n v="19"/>
    <n v="407"/>
    <n v="569"/>
    <n v="10811"/>
    <n v="3078"/>
  </r>
  <r>
    <d v="2022-04-29T00:00:00"/>
    <s v="Massage gun"/>
    <x v="3"/>
    <s v="Pickup"/>
    <n v="8"/>
    <n v="382"/>
    <n v="534"/>
    <n v="4272"/>
    <n v="1216"/>
  </r>
  <r>
    <d v="2022-04-29T00:00:00"/>
    <s v="Phone case"/>
    <x v="3"/>
    <s v="Air mail"/>
    <n v="10"/>
    <n v="434"/>
    <n v="607"/>
    <n v="6070"/>
    <n v="1730"/>
  </r>
  <r>
    <d v="2022-04-23T00:00:00"/>
    <s v="Recycled shopipng bag"/>
    <x v="3"/>
    <s v="Reseller"/>
    <n v="16"/>
    <n v="105"/>
    <n v="147"/>
    <n v="2352"/>
    <n v="672"/>
  </r>
  <r>
    <d v="2022-04-23T00:00:00"/>
    <s v="LED lighting"/>
    <x v="3"/>
    <s v="Reseller"/>
    <n v="22"/>
    <n v="362"/>
    <n v="506"/>
    <n v="11132"/>
    <n v="3168"/>
  </r>
  <r>
    <d v="2022-04-17T00:00:00"/>
    <s v="Recycled shopipng bag"/>
    <x v="1"/>
    <s v="Pickup"/>
    <n v="5"/>
    <n v="385"/>
    <n v="539"/>
    <n v="2695"/>
    <n v="770"/>
  </r>
  <r>
    <d v="2022-04-17T00:00:00"/>
    <s v="Running hoodie"/>
    <x v="1"/>
    <s v="Reseller"/>
    <n v="20"/>
    <n v="478"/>
    <n v="669"/>
    <n v="13380"/>
    <n v="3820"/>
  </r>
  <r>
    <d v="2022-04-11T00:00:00"/>
    <s v="Home decor"/>
    <x v="1"/>
    <s v="Reseller"/>
    <n v="14"/>
    <n v="270"/>
    <n v="378"/>
    <n v="5292"/>
    <n v="1512"/>
  </r>
  <r>
    <d v="2022-04-11T00:00:00"/>
    <s v="Pet accessory"/>
    <x v="0"/>
    <s v="Air mail"/>
    <n v="21"/>
    <n v="213"/>
    <n v="298"/>
    <n v="6258"/>
    <n v="1785"/>
  </r>
  <r>
    <d v="2022-04-05T00:00:00"/>
    <s v="Home decor"/>
    <x v="1"/>
    <s v="Regular mail"/>
    <n v="6"/>
    <n v="224"/>
    <n v="313"/>
    <n v="1878"/>
    <n v="534"/>
  </r>
  <r>
    <d v="2022-04-05T00:00:00"/>
    <s v="Premium pet food"/>
    <x v="3"/>
    <s v="Air mail"/>
    <n v="24"/>
    <n v="472"/>
    <n v="660"/>
    <n v="15840"/>
    <n v="4512"/>
  </r>
  <r>
    <d v="2022-03-30T00:00:00"/>
    <s v="Wireless charger"/>
    <x v="2"/>
    <s v="Air mail"/>
    <n v="18"/>
    <n v="427"/>
    <n v="597"/>
    <n v="10746"/>
    <n v="3060"/>
  </r>
  <r>
    <d v="2022-03-30T00:00:00"/>
    <s v="Natural skincare"/>
    <x v="2"/>
    <s v="Express mail"/>
    <n v="19"/>
    <n v="300"/>
    <n v="420"/>
    <n v="7980"/>
    <n v="2280"/>
  </r>
  <r>
    <d v="2022-03-24T00:00:00"/>
    <s v="Wireless charger"/>
    <x v="0"/>
    <s v="Reseller"/>
    <n v="6"/>
    <n v="265"/>
    <n v="371"/>
    <n v="2226"/>
    <n v="636"/>
  </r>
  <r>
    <d v="2022-03-24T00:00:00"/>
    <s v="Massage gun"/>
    <x v="2"/>
    <s v="Regular mail"/>
    <n v="23"/>
    <n v="382"/>
    <n v="534"/>
    <n v="12282"/>
    <n v="3496"/>
  </r>
  <r>
    <d v="2022-03-18T00:00:00"/>
    <s v="Phone case"/>
    <x v="3"/>
    <s v="Regular mail"/>
    <n v="8"/>
    <n v="407"/>
    <n v="569"/>
    <n v="4552"/>
    <n v="1296"/>
  </r>
  <r>
    <d v="2022-03-18T00:00:00"/>
    <s v="Recycled shopipng bag"/>
    <x v="2"/>
    <s v="Express mail"/>
    <n v="15"/>
    <n v="105"/>
    <n v="147"/>
    <n v="2205"/>
    <n v="630"/>
  </r>
  <r>
    <d v="2022-03-12T00:00:00"/>
    <s v="Phone case"/>
    <x v="2"/>
    <s v="Pickup"/>
    <n v="14"/>
    <n v="434"/>
    <n v="607"/>
    <n v="8498"/>
    <n v="2422"/>
  </r>
  <r>
    <d v="2022-03-12T00:00:00"/>
    <s v="Recycled shopipng bag"/>
    <x v="3"/>
    <s v="Express mail"/>
    <n v="5"/>
    <n v="385"/>
    <n v="539"/>
    <n v="2695"/>
    <n v="770"/>
  </r>
  <r>
    <d v="2022-03-06T00:00:00"/>
    <s v="LED lighting"/>
    <x v="0"/>
    <s v="Air mail"/>
    <n v="19"/>
    <n v="362"/>
    <n v="506"/>
    <n v="9614"/>
    <n v="2736"/>
  </r>
  <r>
    <d v="2022-03-06T00:00:00"/>
    <s v="Home decor"/>
    <x v="3"/>
    <s v="Reseller"/>
    <n v="13"/>
    <n v="270"/>
    <n v="378"/>
    <n v="4914"/>
    <n v="1404"/>
  </r>
  <r>
    <d v="2022-02-28T00:00:00"/>
    <s v="Running hoodie"/>
    <x v="3"/>
    <s v="Air mail"/>
    <n v="10"/>
    <n v="478"/>
    <n v="669"/>
    <n v="6690"/>
    <n v="1910"/>
  </r>
  <r>
    <d v="2022-02-28T00:00:00"/>
    <s v="Home decor"/>
    <x v="1"/>
    <s v="Pickup"/>
    <n v="21"/>
    <n v="224"/>
    <n v="313"/>
    <n v="6573"/>
    <n v="1869"/>
  </r>
  <r>
    <d v="2022-02-22T00:00:00"/>
    <s v="Pet accessory"/>
    <x v="2"/>
    <s v="Pickup"/>
    <n v="19"/>
    <n v="213"/>
    <n v="298"/>
    <n v="5662"/>
    <n v="1615"/>
  </r>
  <r>
    <d v="2022-02-22T00:00:00"/>
    <s v="Wireless charger"/>
    <x v="1"/>
    <s v="Express mail"/>
    <n v="8"/>
    <n v="427"/>
    <n v="597"/>
    <n v="4776"/>
    <n v="1360"/>
  </r>
  <r>
    <d v="2022-02-16T00:00:00"/>
    <s v="Premium pet food"/>
    <x v="0"/>
    <s v="Regular mail"/>
    <n v="17"/>
    <n v="472"/>
    <n v="660"/>
    <n v="11220"/>
    <n v="3196"/>
  </r>
  <r>
    <d v="2022-02-16T00:00:00"/>
    <s v="Wireless charger"/>
    <x v="1"/>
    <s v="Pickup"/>
    <n v="10"/>
    <n v="265"/>
    <n v="371"/>
    <n v="3710"/>
    <n v="1060"/>
  </r>
  <r>
    <d v="2022-02-10T00:00:00"/>
    <s v="Organic socks"/>
    <x v="1"/>
    <s v="Pickup"/>
    <n v="5"/>
    <n v="255"/>
    <n v="357"/>
    <n v="1785"/>
    <n v="510"/>
  </r>
  <r>
    <d v="2022-02-10T00:00:00"/>
    <s v="Phone case"/>
    <x v="0"/>
    <s v="Air mail"/>
    <n v="8"/>
    <n v="407"/>
    <n v="569"/>
    <n v="4552"/>
    <n v="1296"/>
  </r>
  <r>
    <d v="2022-02-04T00:00:00"/>
    <s v="Bluetooth earbuds"/>
    <x v="1"/>
    <s v="Express mail"/>
    <n v="13"/>
    <n v="278"/>
    <n v="389"/>
    <n v="5057"/>
    <n v="1443"/>
  </r>
  <r>
    <d v="2022-02-04T00:00:00"/>
    <s v="Phone case"/>
    <x v="3"/>
    <s v="Air mail"/>
    <n v="14"/>
    <n v="434"/>
    <n v="607"/>
    <n v="8498"/>
    <n v="2422"/>
  </r>
  <r>
    <d v="2022-01-29T00:00:00"/>
    <s v="Air purifier"/>
    <x v="1"/>
    <s v="Pickup"/>
    <n v="21"/>
    <n v="206"/>
    <n v="288"/>
    <n v="6048"/>
    <n v="1722"/>
  </r>
  <r>
    <d v="2022-01-29T00:00:00"/>
    <s v="LED lighting"/>
    <x v="2"/>
    <s v="Pickup"/>
    <n v="19"/>
    <n v="362"/>
    <n v="506"/>
    <n v="9614"/>
    <n v="2736"/>
  </r>
  <r>
    <d v="2022-01-23T00:00:00"/>
    <s v="Bamboo toothbrush"/>
    <x v="3"/>
    <s v="Express mail"/>
    <n v="8"/>
    <n v="474"/>
    <n v="663"/>
    <n v="5304"/>
    <n v="1512"/>
  </r>
  <r>
    <d v="2022-01-23T00:00:00"/>
    <s v="Natural skincare"/>
    <x v="0"/>
    <s v="Regular mail"/>
    <n v="10"/>
    <n v="300"/>
    <n v="420"/>
    <n v="4200"/>
    <n v="1200"/>
  </r>
  <r>
    <d v="2022-01-17T00:00:00"/>
    <s v="Natural skincare"/>
    <x v="3"/>
    <s v="Reseller"/>
    <n v="10"/>
    <n v="228"/>
    <n v="319"/>
    <n v="3190"/>
    <n v="910"/>
  </r>
  <r>
    <d v="2022-01-17T00:00:00"/>
    <s v="Massage gun"/>
    <x v="2"/>
    <s v="Pickup"/>
    <n v="5"/>
    <n v="382"/>
    <n v="534"/>
    <n v="2670"/>
    <n v="760"/>
  </r>
  <r>
    <d v="2022-01-11T00:00:00"/>
    <s v="Reusable water bottle"/>
    <x v="0"/>
    <s v="Air mail"/>
    <n v="19"/>
    <n v="360"/>
    <n v="504"/>
    <n v="9576"/>
    <n v="2736"/>
  </r>
  <r>
    <d v="2021-12-17T00:00:00"/>
    <s v="Phone case"/>
    <x v="1"/>
    <s v="Pickup"/>
    <n v="20"/>
    <n v="407"/>
    <n v="569"/>
    <n v="11380"/>
    <n v="3240"/>
  </r>
  <r>
    <d v="2021-12-10T00:00:00"/>
    <s v="Recycled shopipng bag"/>
    <x v="3"/>
    <s v="Air mail"/>
    <n v="12"/>
    <n v="105"/>
    <n v="147"/>
    <n v="1764"/>
    <n v="504"/>
  </r>
  <r>
    <d v="2021-12-05T00:00:00"/>
    <s v="Home decor"/>
    <x v="2"/>
    <s v="Pickup"/>
    <n v="14"/>
    <n v="270"/>
    <n v="378"/>
    <n v="5292"/>
    <n v="1512"/>
  </r>
  <r>
    <d v="2021-12-05T00:00:00"/>
    <s v="Recycled shopipng bag"/>
    <x v="1"/>
    <s v="Express mail"/>
    <n v="5"/>
    <n v="385"/>
    <n v="539"/>
    <n v="2695"/>
    <n v="770"/>
  </r>
  <r>
    <d v="2021-11-28T00:00:00"/>
    <s v="Home decor"/>
    <x v="1"/>
    <s v="Pickup"/>
    <n v="22"/>
    <n v="224"/>
    <n v="313"/>
    <n v="6886"/>
    <n v="1958"/>
  </r>
  <r>
    <d v="2021-11-21T00:00:00"/>
    <s v="Wireless charger"/>
    <x v="0"/>
    <s v="Regular mail"/>
    <n v="20"/>
    <n v="427"/>
    <n v="597"/>
    <n v="11940"/>
    <n v="3400"/>
  </r>
  <r>
    <d v="2021-11-14T00:00:00"/>
    <s v="Wireless charger"/>
    <x v="3"/>
    <s v="Pickup"/>
    <n v="21"/>
    <n v="265"/>
    <n v="371"/>
    <n v="7791"/>
    <n v="2226"/>
  </r>
  <r>
    <d v="2021-11-07T00:00:00"/>
    <s v="Phone case"/>
    <x v="2"/>
    <s v="Reseller"/>
    <n v="24"/>
    <n v="407"/>
    <n v="569"/>
    <n v="13656"/>
    <n v="3888"/>
  </r>
  <r>
    <d v="2021-10-12T00:00:00"/>
    <s v="Natural skincare"/>
    <x v="2"/>
    <s v="Reseller"/>
    <n v="13"/>
    <n v="300"/>
    <n v="420"/>
    <n v="5460"/>
    <n v="1560"/>
  </r>
  <r>
    <d v="2021-10-05T00:00:00"/>
    <s v="Massage gun"/>
    <x v="2"/>
    <s v="Express mail"/>
    <n v="7"/>
    <n v="382"/>
    <n v="534"/>
    <n v="3738"/>
    <n v="1064"/>
  </r>
  <r>
    <d v="2021-09-28T00:00:00"/>
    <s v="Recycled shopipng bag"/>
    <x v="0"/>
    <s v="Express mail"/>
    <n v="24"/>
    <n v="105"/>
    <n v="147"/>
    <n v="3528"/>
    <n v="1008"/>
  </r>
  <r>
    <d v="2021-09-21T00:00:00"/>
    <s v="Recycled shopipng bag"/>
    <x v="2"/>
    <s v="Pickup"/>
    <n v="11"/>
    <n v="385"/>
    <n v="539"/>
    <n v="5929"/>
    <n v="1694"/>
  </r>
  <r>
    <d v="2021-09-14T00:00:00"/>
    <s v="Home decor"/>
    <x v="0"/>
    <s v="Pickup"/>
    <n v="6"/>
    <n v="270"/>
    <n v="378"/>
    <n v="2268"/>
    <n v="648"/>
  </r>
  <r>
    <d v="2021-09-07T00:00:00"/>
    <s v="Home decor"/>
    <x v="1"/>
    <s v="Express mail"/>
    <n v="3"/>
    <n v="224"/>
    <n v="313"/>
    <n v="939"/>
    <n v="267"/>
  </r>
  <r>
    <d v="2021-08-31T00:00:00"/>
    <s v="Wireless charger"/>
    <x v="1"/>
    <s v="Air mail"/>
    <n v="3"/>
    <n v="427"/>
    <n v="597"/>
    <n v="1791"/>
    <n v="510"/>
  </r>
  <r>
    <d v="2021-08-31T00:00:00"/>
    <s v="Phone case"/>
    <x v="3"/>
    <s v="Reseller"/>
    <n v="5"/>
    <n v="434"/>
    <n v="607"/>
    <n v="3035"/>
    <n v="865"/>
  </r>
  <r>
    <d v="2021-08-24T00:00:00"/>
    <s v="Wireless charger"/>
    <x v="0"/>
    <s v="Express mail"/>
    <n v="6"/>
    <n v="265"/>
    <n v="371"/>
    <n v="2226"/>
    <n v="636"/>
  </r>
  <r>
    <d v="2021-08-24T00:00:00"/>
    <s v="LED lighting"/>
    <x v="3"/>
    <s v="Express mail"/>
    <n v="2"/>
    <n v="362"/>
    <n v="506"/>
    <n v="1012"/>
    <n v="288"/>
  </r>
  <r>
    <d v="2021-08-17T00:00:00"/>
    <s v="Natural skincare"/>
    <x v="2"/>
    <s v="Regular mail"/>
    <n v="1"/>
    <n v="300"/>
    <n v="420"/>
    <n v="420"/>
    <n v="120"/>
  </r>
  <r>
    <d v="2021-08-10T00:00:00"/>
    <s v="Phone case"/>
    <x v="3"/>
    <s v="Air mail"/>
    <n v="7"/>
    <n v="434"/>
    <n v="607"/>
    <n v="4249"/>
    <n v="1211"/>
  </r>
  <r>
    <d v="2021-08-10T00:00:00"/>
    <s v="Massage gun"/>
    <x v="1"/>
    <s v="Regular mail"/>
    <n v="8"/>
    <n v="382"/>
    <n v="534"/>
    <n v="4272"/>
    <n v="1216"/>
  </r>
  <r>
    <d v="2021-08-03T00:00:00"/>
    <s v="LED lighting"/>
    <x v="3"/>
    <s v="Reseller"/>
    <n v="3"/>
    <n v="362"/>
    <n v="506"/>
    <n v="1518"/>
    <n v="432"/>
  </r>
  <r>
    <d v="2021-08-03T00:00:00"/>
    <s v="Recycled shopipng bag"/>
    <x v="3"/>
    <s v="Pickup"/>
    <n v="4"/>
    <n v="105"/>
    <n v="147"/>
    <n v="588"/>
    <n v="168"/>
  </r>
  <r>
    <d v="2021-07-27T00:00:00"/>
    <s v="Running hoodie"/>
    <x v="3"/>
    <s v="Express mail"/>
    <n v="3"/>
    <n v="478"/>
    <n v="669"/>
    <n v="2007"/>
    <n v="573"/>
  </r>
  <r>
    <d v="2021-07-27T00:00:00"/>
    <s v="Recycled shopipng bag"/>
    <x v="3"/>
    <s v="Reseller"/>
    <n v="9"/>
    <n v="385"/>
    <n v="539"/>
    <n v="4851"/>
    <n v="1386"/>
  </r>
  <r>
    <d v="2021-07-20T00:00:00"/>
    <s v="Pet accessory"/>
    <x v="3"/>
    <s v="Reseller"/>
    <n v="9"/>
    <n v="213"/>
    <n v="298"/>
    <n v="2682"/>
    <n v="765"/>
  </r>
  <r>
    <d v="2021-07-20T00:00:00"/>
    <s v="Home decor"/>
    <x v="2"/>
    <s v="Pickup"/>
    <n v="1"/>
    <n v="270"/>
    <n v="378"/>
    <n v="378"/>
    <n v="108"/>
  </r>
  <r>
    <d v="2021-07-13T00:00:00"/>
    <s v="Premium pet food"/>
    <x v="1"/>
    <s v="Pickup"/>
    <n v="3"/>
    <n v="472"/>
    <n v="660"/>
    <n v="1980"/>
    <n v="564"/>
  </r>
  <r>
    <d v="2021-07-13T00:00:00"/>
    <s v="Home decor"/>
    <x v="0"/>
    <s v="Air mail"/>
    <n v="5"/>
    <n v="224"/>
    <n v="313"/>
    <n v="1565"/>
    <n v="445"/>
  </r>
  <r>
    <d v="2021-07-06T00:00:00"/>
    <s v="Organic socks"/>
    <x v="1"/>
    <s v="Express mail"/>
    <n v="5"/>
    <n v="255"/>
    <n v="357"/>
    <n v="1785"/>
    <n v="510"/>
  </r>
  <r>
    <d v="2021-07-06T00:00:00"/>
    <s v="Wireless charger"/>
    <x v="3"/>
    <s v="Air mail"/>
    <n v="2"/>
    <n v="427"/>
    <n v="597"/>
    <n v="1194"/>
    <n v="340"/>
  </r>
  <r>
    <d v="2021-06-29T00:00:00"/>
    <s v="Bluetooth earbuds"/>
    <x v="1"/>
    <s v="Pickup"/>
    <n v="11"/>
    <n v="278"/>
    <n v="389"/>
    <n v="4279"/>
    <n v="1221"/>
  </r>
  <r>
    <d v="2021-06-29T00:00:00"/>
    <s v="Wireless charger"/>
    <x v="2"/>
    <s v="Pickup"/>
    <n v="5"/>
    <n v="265"/>
    <n v="371"/>
    <n v="1855"/>
    <n v="530"/>
  </r>
  <r>
    <d v="2021-06-22T00:00:00"/>
    <s v="Air purifier"/>
    <x v="0"/>
    <s v="Air mail"/>
    <n v="12"/>
    <n v="206"/>
    <n v="288"/>
    <n v="3456"/>
    <n v="984"/>
  </r>
  <r>
    <d v="2021-06-22T00:00:00"/>
    <s v="Phone case"/>
    <x v="0"/>
    <s v="Regular mail"/>
    <n v="14"/>
    <n v="407"/>
    <n v="569"/>
    <n v="7966"/>
    <n v="2268"/>
  </r>
  <r>
    <d v="2021-06-15T00:00:00"/>
    <s v="Bamboo toothbrush"/>
    <x v="3"/>
    <s v="Air mail"/>
    <n v="5"/>
    <n v="474"/>
    <n v="663"/>
    <n v="3315"/>
    <n v="945"/>
  </r>
  <r>
    <d v="2021-06-15T00:00:00"/>
    <s v="Phone case"/>
    <x v="1"/>
    <s v="Pickup"/>
    <n v="22"/>
    <n v="434"/>
    <n v="607"/>
    <n v="13354"/>
    <n v="3806"/>
  </r>
  <r>
    <d v="2021-06-08T00:00:00"/>
    <s v="Natural skincare"/>
    <x v="2"/>
    <s v="Pickup"/>
    <n v="13"/>
    <n v="228"/>
    <n v="319"/>
    <n v="4147"/>
    <n v="1183"/>
  </r>
  <r>
    <d v="2021-06-08T00:00:00"/>
    <s v="LED lighting"/>
    <x v="1"/>
    <s v="Express mail"/>
    <n v="20"/>
    <n v="362"/>
    <n v="506"/>
    <n v="10120"/>
    <n v="2880"/>
  </r>
  <r>
    <d v="2021-06-01T00:00:00"/>
    <s v="Reusable water bottle"/>
    <x v="0"/>
    <s v="Regular mail"/>
    <n v="10"/>
    <n v="360"/>
    <n v="504"/>
    <n v="5040"/>
    <n v="1440"/>
  </r>
  <r>
    <d v="2021-06-01T00:00:00"/>
    <s v="Running hoodie"/>
    <x v="1"/>
    <s v="Pickup"/>
    <n v="21"/>
    <n v="478"/>
    <n v="669"/>
    <n v="14049"/>
    <n v="4011"/>
  </r>
  <r>
    <d v="2021-05-25T00:00:00"/>
    <s v="Natural skincare"/>
    <x v="2"/>
    <s v="Pickup"/>
    <n v="8"/>
    <n v="300"/>
    <n v="420"/>
    <n v="3360"/>
    <n v="960"/>
  </r>
  <r>
    <d v="2021-05-25T00:00:00"/>
    <s v="Pet accessory"/>
    <x v="3"/>
    <s v="Express mail"/>
    <n v="24"/>
    <n v="213"/>
    <n v="298"/>
    <n v="7152"/>
    <n v="2040"/>
  </r>
  <r>
    <d v="2021-05-18T00:00:00"/>
    <s v="Massage gun"/>
    <x v="0"/>
    <s v="Air mail"/>
    <n v="14"/>
    <n v="382"/>
    <n v="534"/>
    <n v="7476"/>
    <n v="2128"/>
  </r>
  <r>
    <d v="2021-05-18T00:00:00"/>
    <s v="Premium pet food"/>
    <x v="3"/>
    <s v="Reseller"/>
    <n v="23"/>
    <n v="472"/>
    <n v="660"/>
    <n v="15180"/>
    <n v="4324"/>
  </r>
  <r>
    <d v="2021-05-11T00:00:00"/>
    <s v="Recycled shopipng bag"/>
    <x v="3"/>
    <s v="Air mail"/>
    <n v="9"/>
    <n v="105"/>
    <n v="147"/>
    <n v="1323"/>
    <n v="378"/>
  </r>
  <r>
    <d v="2021-05-11T00:00:00"/>
    <s v="Organic socks"/>
    <x v="1"/>
    <s v="Pickup"/>
    <n v="5"/>
    <n v="255"/>
    <n v="357"/>
    <n v="1785"/>
    <n v="510"/>
  </r>
  <r>
    <d v="2021-05-04T00:00:00"/>
    <s v="Recycled shopipng bag"/>
    <x v="2"/>
    <s v="Pickup"/>
    <n v="7"/>
    <n v="385"/>
    <n v="539"/>
    <n v="3773"/>
    <n v="1078"/>
  </r>
  <r>
    <d v="2021-05-04T00:00:00"/>
    <s v="Bluetooth earbuds"/>
    <x v="1"/>
    <s v="Express mail"/>
    <n v="6"/>
    <n v="278"/>
    <n v="389"/>
    <n v="2334"/>
    <n v="666"/>
  </r>
  <r>
    <d v="2021-04-27T00:00:00"/>
    <s v="Home decor"/>
    <x v="0"/>
    <s v="Regular mail"/>
    <n v="5"/>
    <n v="270"/>
    <n v="378"/>
    <n v="1890"/>
    <n v="540"/>
  </r>
  <r>
    <d v="2021-04-27T00:00:00"/>
    <s v="Air purifier"/>
    <x v="1"/>
    <s v="Pickup"/>
    <n v="8"/>
    <n v="206"/>
    <n v="288"/>
    <n v="2304"/>
    <n v="656"/>
  </r>
  <r>
    <d v="2021-04-20T00:00:00"/>
    <s v="Home decor"/>
    <x v="2"/>
    <s v="Reseller"/>
    <n v="12"/>
    <n v="224"/>
    <n v="313"/>
    <n v="3756"/>
    <n v="1068"/>
  </r>
  <r>
    <d v="2021-04-20T00:00:00"/>
    <s v="Bamboo toothbrush"/>
    <x v="3"/>
    <s v="Pickup"/>
    <n v="5"/>
    <n v="474"/>
    <n v="663"/>
    <n v="3315"/>
    <n v="945"/>
  </r>
  <r>
    <d v="2021-04-13T00:00:00"/>
    <s v="Wireless charger"/>
    <x v="2"/>
    <s v="Express mail"/>
    <n v="5"/>
    <n v="427"/>
    <n v="597"/>
    <n v="2985"/>
    <n v="850"/>
  </r>
  <r>
    <d v="2021-04-13T00:00:00"/>
    <s v="Natural skincare"/>
    <x v="2"/>
    <s v="Reseller"/>
    <n v="13"/>
    <n v="228"/>
    <n v="319"/>
    <n v="4147"/>
    <n v="1183"/>
  </r>
  <r>
    <d v="2021-04-06T00:00:00"/>
    <s v="Wireless charger"/>
    <x v="2"/>
    <s v="Pickup"/>
    <n v="14"/>
    <n v="265"/>
    <n v="371"/>
    <n v="5194"/>
    <n v="1484"/>
  </r>
  <r>
    <d v="2021-04-06T00:00:00"/>
    <s v="Reusable water bottle"/>
    <x v="0"/>
    <s v="Express mail"/>
    <n v="10"/>
    <n v="360"/>
    <n v="504"/>
    <n v="5040"/>
    <n v="1440"/>
  </r>
  <r>
    <d v="2021-03-30T00:00:00"/>
    <s v="Phone case"/>
    <x v="1"/>
    <s v="Express mail"/>
    <n v="4"/>
    <n v="407"/>
    <n v="569"/>
    <n v="2276"/>
    <n v="648"/>
  </r>
  <r>
    <d v="2021-03-30T00:00:00"/>
    <s v="Phone case"/>
    <x v="0"/>
    <s v="Pickup"/>
    <n v="8"/>
    <n v="407"/>
    <n v="569"/>
    <n v="4552"/>
    <n v="1296"/>
  </r>
  <r>
    <d v="2021-03-23T00:00:00"/>
    <s v="Phone case"/>
    <x v="1"/>
    <s v="Air mail"/>
    <n v="13"/>
    <n v="434"/>
    <n v="607"/>
    <n v="7891"/>
    <n v="2249"/>
  </r>
  <r>
    <d v="2021-03-23T00:00:00"/>
    <s v="Phone case"/>
    <x v="3"/>
    <s v="Reseller"/>
    <n v="14"/>
    <n v="434"/>
    <n v="607"/>
    <n v="8498"/>
    <n v="2422"/>
  </r>
  <r>
    <d v="2021-03-16T00:00:00"/>
    <s v="LED lighting"/>
    <x v="0"/>
    <s v="Express mail"/>
    <n v="14"/>
    <n v="362"/>
    <n v="506"/>
    <n v="7084"/>
    <n v="2016"/>
  </r>
  <r>
    <d v="2021-03-16T00:00:00"/>
    <s v="LED lighting"/>
    <x v="3"/>
    <s v="Express mail"/>
    <n v="19"/>
    <n v="362"/>
    <n v="506"/>
    <n v="9614"/>
    <n v="2736"/>
  </r>
  <r>
    <d v="2021-03-09T00:00:00"/>
    <s v="Running hoodie"/>
    <x v="1"/>
    <s v="Regular mail"/>
    <n v="24"/>
    <n v="478"/>
    <n v="669"/>
    <n v="16056"/>
    <n v="4584"/>
  </r>
  <r>
    <d v="2021-03-09T00:00:00"/>
    <s v="Running hoodie"/>
    <x v="2"/>
    <s v="Regular mail"/>
    <n v="10"/>
    <n v="478"/>
    <n v="669"/>
    <n v="6690"/>
    <n v="1910"/>
  </r>
  <r>
    <d v="2021-03-02T00:00:00"/>
    <s v="Pet accessory"/>
    <x v="3"/>
    <s v="Pickup"/>
    <n v="10"/>
    <n v="213"/>
    <n v="298"/>
    <n v="2980"/>
    <n v="850"/>
  </r>
  <r>
    <d v="2021-03-02T00:00:00"/>
    <s v="Pet accessory"/>
    <x v="3"/>
    <s v="Air mail"/>
    <n v="5"/>
    <n v="213"/>
    <n v="298"/>
    <n v="1490"/>
    <n v="425"/>
  </r>
  <r>
    <d v="2021-02-23T00:00:00"/>
    <s v="Premium pet food"/>
    <x v="3"/>
    <s v="Reseller"/>
    <n v="12"/>
    <n v="472"/>
    <n v="660"/>
    <n v="7920"/>
    <n v="2256"/>
  </r>
  <r>
    <d v="2021-02-23T00:00:00"/>
    <s v="Premium pet food"/>
    <x v="3"/>
    <s v="Reseller"/>
    <n v="12"/>
    <n v="472"/>
    <n v="660"/>
    <n v="7920"/>
    <n v="2256"/>
  </r>
  <r>
    <d v="2021-02-16T00:00:00"/>
    <s v="Organic socks"/>
    <x v="1"/>
    <s v="Pickup"/>
    <n v="20"/>
    <n v="255"/>
    <n v="357"/>
    <n v="7140"/>
    <n v="2040"/>
  </r>
  <r>
    <d v="2021-02-16T00:00:00"/>
    <s v="Organic socks"/>
    <x v="1"/>
    <s v="Reseller"/>
    <n v="5"/>
    <n v="255"/>
    <n v="357"/>
    <n v="1785"/>
    <n v="510"/>
  </r>
  <r>
    <d v="2021-02-09T00:00:00"/>
    <s v="Bluetooth earbuds"/>
    <x v="1"/>
    <s v="Reseller"/>
    <n v="23"/>
    <n v="278"/>
    <n v="389"/>
    <n v="8947"/>
    <n v="2553"/>
  </r>
  <r>
    <d v="2021-02-09T00:00:00"/>
    <s v="Bluetooth earbuds"/>
    <x v="0"/>
    <s v="Air mail"/>
    <n v="14"/>
    <n v="278"/>
    <n v="389"/>
    <n v="5446"/>
    <n v="1554"/>
  </r>
  <r>
    <d v="2021-02-02T00:00:00"/>
    <s v="Air purifier"/>
    <x v="1"/>
    <s v="Regular mail"/>
    <n v="11"/>
    <n v="206"/>
    <n v="288"/>
    <n v="3168"/>
    <n v="902"/>
  </r>
  <r>
    <d v="2021-02-02T00:00:00"/>
    <s v="Air purifier"/>
    <x v="3"/>
    <s v="Air mail"/>
    <n v="12"/>
    <n v="206"/>
    <n v="288"/>
    <n v="3456"/>
    <n v="984"/>
  </r>
  <r>
    <d v="2021-01-26T00:00:00"/>
    <s v="Bamboo toothbrush"/>
    <x v="2"/>
    <s v="Air mail"/>
    <n v="9"/>
    <n v="474"/>
    <n v="663"/>
    <n v="5967"/>
    <n v="1701"/>
  </r>
  <r>
    <d v="2021-01-26T00:00:00"/>
    <s v="Bamboo toothbrush"/>
    <x v="2"/>
    <s v="Express mail"/>
    <n v="5"/>
    <n v="474"/>
    <n v="663"/>
    <n v="3315"/>
    <n v="945"/>
  </r>
  <r>
    <d v="2021-01-19T00:00:00"/>
    <s v="Natural skincare"/>
    <x v="0"/>
    <s v="Reseller"/>
    <n v="7"/>
    <n v="228"/>
    <n v="319"/>
    <n v="2233"/>
    <n v="637"/>
  </r>
  <r>
    <d v="2021-01-19T00:00:00"/>
    <s v="Natural skincare"/>
    <x v="2"/>
    <s v="Regular mail"/>
    <n v="2"/>
    <n v="228"/>
    <n v="319"/>
    <n v="638"/>
    <n v="182"/>
  </r>
  <r>
    <d v="2021-01-12T00:00:00"/>
    <s v="Reusable water bottle"/>
    <x v="3"/>
    <s v="Regular mail"/>
    <n v="8"/>
    <n v="360"/>
    <n v="504"/>
    <n v="4032"/>
    <n v="1152"/>
  </r>
  <r>
    <d v="2021-01-12T00:00:00"/>
    <s v="Reusable water bottle"/>
    <x v="2"/>
    <s v="Express mail"/>
    <n v="4"/>
    <n v="360"/>
    <n v="504"/>
    <n v="2016"/>
    <n v="57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x v="0"/>
    <x v="0"/>
    <x v="0"/>
    <x v="0"/>
    <n v="8"/>
    <n v="300"/>
    <n v="420"/>
    <x v="0"/>
    <n v="960"/>
  </r>
  <r>
    <x v="0"/>
    <x v="1"/>
    <x v="0"/>
    <x v="1"/>
    <n v="20"/>
    <n v="385"/>
    <n v="539"/>
    <x v="1"/>
    <n v="3080"/>
  </r>
  <r>
    <x v="0"/>
    <x v="0"/>
    <x v="1"/>
    <x v="2"/>
    <n v="11"/>
    <n v="300"/>
    <n v="420"/>
    <x v="2"/>
    <n v="1320"/>
  </r>
  <r>
    <x v="1"/>
    <x v="2"/>
    <x v="2"/>
    <x v="2"/>
    <n v="13"/>
    <n v="382"/>
    <n v="534"/>
    <x v="3"/>
    <n v="1976"/>
  </r>
  <r>
    <x v="1"/>
    <x v="3"/>
    <x v="3"/>
    <x v="0"/>
    <n v="14"/>
    <n v="270"/>
    <n v="378"/>
    <x v="4"/>
    <n v="1512"/>
  </r>
  <r>
    <x v="1"/>
    <x v="2"/>
    <x v="1"/>
    <x v="2"/>
    <n v="5"/>
    <n v="382"/>
    <n v="534"/>
    <x v="5"/>
    <n v="760"/>
  </r>
  <r>
    <x v="2"/>
    <x v="1"/>
    <x v="1"/>
    <x v="2"/>
    <n v="10"/>
    <n v="105"/>
    <n v="147"/>
    <x v="6"/>
    <n v="420"/>
  </r>
  <r>
    <x v="2"/>
    <x v="3"/>
    <x v="0"/>
    <x v="0"/>
    <n v="21"/>
    <n v="224"/>
    <n v="313"/>
    <x v="7"/>
    <n v="1869"/>
  </r>
  <r>
    <x v="2"/>
    <x v="1"/>
    <x v="3"/>
    <x v="3"/>
    <n v="19"/>
    <n v="105"/>
    <n v="147"/>
    <x v="8"/>
    <n v="798"/>
  </r>
  <r>
    <x v="3"/>
    <x v="1"/>
    <x v="1"/>
    <x v="4"/>
    <n v="15"/>
    <n v="385"/>
    <n v="539"/>
    <x v="9"/>
    <n v="2310"/>
  </r>
  <r>
    <x v="3"/>
    <x v="4"/>
    <x v="3"/>
    <x v="0"/>
    <n v="8"/>
    <n v="427"/>
    <n v="597"/>
    <x v="10"/>
    <n v="1360"/>
  </r>
  <r>
    <x v="4"/>
    <x v="3"/>
    <x v="1"/>
    <x v="2"/>
    <n v="20"/>
    <n v="270"/>
    <n v="378"/>
    <x v="11"/>
    <n v="2160"/>
  </r>
  <r>
    <x v="4"/>
    <x v="4"/>
    <x v="2"/>
    <x v="2"/>
    <n v="23"/>
    <n v="265"/>
    <n v="371"/>
    <x v="12"/>
    <n v="2438"/>
  </r>
  <r>
    <x v="5"/>
    <x v="3"/>
    <x v="0"/>
    <x v="0"/>
    <n v="11"/>
    <n v="224"/>
    <n v="313"/>
    <x v="13"/>
    <n v="979"/>
  </r>
  <r>
    <x v="5"/>
    <x v="5"/>
    <x v="0"/>
    <x v="1"/>
    <n v="23"/>
    <n v="407"/>
    <n v="569"/>
    <x v="14"/>
    <n v="3726"/>
  </r>
  <r>
    <x v="6"/>
    <x v="4"/>
    <x v="3"/>
    <x v="0"/>
    <n v="23"/>
    <n v="427"/>
    <n v="597"/>
    <x v="15"/>
    <n v="3910"/>
  </r>
  <r>
    <x v="6"/>
    <x v="5"/>
    <x v="1"/>
    <x v="2"/>
    <n v="19"/>
    <n v="434"/>
    <n v="607"/>
    <x v="16"/>
    <n v="3287"/>
  </r>
  <r>
    <x v="7"/>
    <x v="4"/>
    <x v="2"/>
    <x v="2"/>
    <n v="25"/>
    <n v="265"/>
    <n v="371"/>
    <x v="17"/>
    <n v="2650"/>
  </r>
  <r>
    <x v="7"/>
    <x v="6"/>
    <x v="1"/>
    <x v="4"/>
    <n v="23"/>
    <n v="362"/>
    <n v="506"/>
    <x v="18"/>
    <n v="3312"/>
  </r>
  <r>
    <x v="8"/>
    <x v="5"/>
    <x v="0"/>
    <x v="1"/>
    <n v="7"/>
    <n v="407"/>
    <n v="569"/>
    <x v="19"/>
    <n v="1134"/>
  </r>
  <r>
    <x v="8"/>
    <x v="7"/>
    <x v="1"/>
    <x v="2"/>
    <n v="15"/>
    <n v="478"/>
    <n v="669"/>
    <x v="20"/>
    <n v="2865"/>
  </r>
  <r>
    <x v="9"/>
    <x v="5"/>
    <x v="2"/>
    <x v="2"/>
    <n v="5"/>
    <n v="434"/>
    <n v="607"/>
    <x v="21"/>
    <n v="865"/>
  </r>
  <r>
    <x v="9"/>
    <x v="8"/>
    <x v="3"/>
    <x v="4"/>
    <n v="8"/>
    <n v="213"/>
    <n v="298"/>
    <x v="22"/>
    <n v="680"/>
  </r>
  <r>
    <x v="10"/>
    <x v="6"/>
    <x v="0"/>
    <x v="0"/>
    <n v="13"/>
    <n v="362"/>
    <n v="506"/>
    <x v="23"/>
    <n v="1872"/>
  </r>
  <r>
    <x v="10"/>
    <x v="9"/>
    <x v="3"/>
    <x v="3"/>
    <n v="14"/>
    <n v="472"/>
    <n v="660"/>
    <x v="24"/>
    <n v="2632"/>
  </r>
  <r>
    <x v="11"/>
    <x v="7"/>
    <x v="3"/>
    <x v="0"/>
    <n v="21"/>
    <n v="478"/>
    <n v="669"/>
    <x v="25"/>
    <n v="4011"/>
  </r>
  <r>
    <x v="11"/>
    <x v="10"/>
    <x v="1"/>
    <x v="2"/>
    <n v="19"/>
    <n v="255"/>
    <n v="357"/>
    <x v="26"/>
    <n v="1938"/>
  </r>
  <r>
    <x v="12"/>
    <x v="8"/>
    <x v="2"/>
    <x v="2"/>
    <n v="8"/>
    <n v="213"/>
    <n v="298"/>
    <x v="22"/>
    <n v="680"/>
  </r>
  <r>
    <x v="12"/>
    <x v="11"/>
    <x v="1"/>
    <x v="4"/>
    <n v="10"/>
    <n v="278"/>
    <n v="389"/>
    <x v="27"/>
    <n v="1110"/>
  </r>
  <r>
    <x v="13"/>
    <x v="9"/>
    <x v="0"/>
    <x v="1"/>
    <n v="24"/>
    <n v="472"/>
    <n v="660"/>
    <x v="28"/>
    <n v="4512"/>
  </r>
  <r>
    <x v="13"/>
    <x v="12"/>
    <x v="1"/>
    <x v="2"/>
    <n v="10"/>
    <n v="206"/>
    <n v="288"/>
    <x v="29"/>
    <n v="820"/>
  </r>
  <r>
    <x v="14"/>
    <x v="10"/>
    <x v="2"/>
    <x v="3"/>
    <n v="16"/>
    <n v="255"/>
    <n v="357"/>
    <x v="30"/>
    <n v="1632"/>
  </r>
  <r>
    <x v="14"/>
    <x v="13"/>
    <x v="3"/>
    <x v="2"/>
    <n v="8"/>
    <n v="474"/>
    <n v="663"/>
    <x v="31"/>
    <n v="1512"/>
  </r>
  <r>
    <x v="15"/>
    <x v="11"/>
    <x v="2"/>
    <x v="4"/>
    <n v="7"/>
    <n v="278"/>
    <n v="389"/>
    <x v="32"/>
    <n v="777"/>
  </r>
  <r>
    <x v="15"/>
    <x v="0"/>
    <x v="2"/>
    <x v="3"/>
    <n v="14"/>
    <n v="228"/>
    <n v="319"/>
    <x v="33"/>
    <n v="1274"/>
  </r>
  <r>
    <x v="16"/>
    <x v="12"/>
    <x v="2"/>
    <x v="2"/>
    <n v="18"/>
    <n v="206"/>
    <n v="288"/>
    <x v="34"/>
    <n v="1476"/>
  </r>
  <r>
    <x v="16"/>
    <x v="14"/>
    <x v="0"/>
    <x v="4"/>
    <n v="19"/>
    <n v="360"/>
    <n v="504"/>
    <x v="35"/>
    <n v="2736"/>
  </r>
  <r>
    <x v="17"/>
    <x v="13"/>
    <x v="1"/>
    <x v="4"/>
    <n v="18"/>
    <n v="474"/>
    <n v="663"/>
    <x v="36"/>
    <n v="3402"/>
  </r>
  <r>
    <x v="17"/>
    <x v="3"/>
    <x v="0"/>
    <x v="2"/>
    <n v="10"/>
    <n v="224"/>
    <n v="313"/>
    <x v="37"/>
    <n v="890"/>
  </r>
  <r>
    <x v="18"/>
    <x v="0"/>
    <x v="1"/>
    <x v="0"/>
    <n v="5"/>
    <n v="228"/>
    <n v="319"/>
    <x v="38"/>
    <n v="455"/>
  </r>
  <r>
    <x v="18"/>
    <x v="4"/>
    <x v="3"/>
    <x v="3"/>
    <n v="8"/>
    <n v="427"/>
    <n v="597"/>
    <x v="10"/>
    <n v="1360"/>
  </r>
  <r>
    <x v="19"/>
    <x v="14"/>
    <x v="0"/>
    <x v="4"/>
    <n v="13"/>
    <n v="360"/>
    <n v="504"/>
    <x v="39"/>
    <n v="1872"/>
  </r>
  <r>
    <x v="19"/>
    <x v="4"/>
    <x v="3"/>
    <x v="4"/>
    <n v="14"/>
    <n v="265"/>
    <n v="371"/>
    <x v="40"/>
    <n v="1484"/>
  </r>
  <r>
    <x v="20"/>
    <x v="0"/>
    <x v="1"/>
    <x v="1"/>
    <n v="21"/>
    <n v="300"/>
    <n v="420"/>
    <x v="41"/>
    <n v="2520"/>
  </r>
  <r>
    <x v="20"/>
    <x v="5"/>
    <x v="2"/>
    <x v="1"/>
    <n v="19"/>
    <n v="407"/>
    <n v="569"/>
    <x v="42"/>
    <n v="3078"/>
  </r>
  <r>
    <x v="21"/>
    <x v="2"/>
    <x v="3"/>
    <x v="2"/>
    <n v="8"/>
    <n v="382"/>
    <n v="534"/>
    <x v="43"/>
    <n v="1216"/>
  </r>
  <r>
    <x v="21"/>
    <x v="5"/>
    <x v="3"/>
    <x v="0"/>
    <n v="10"/>
    <n v="434"/>
    <n v="607"/>
    <x v="44"/>
    <n v="1730"/>
  </r>
  <r>
    <x v="22"/>
    <x v="1"/>
    <x v="3"/>
    <x v="3"/>
    <n v="16"/>
    <n v="105"/>
    <n v="147"/>
    <x v="45"/>
    <n v="672"/>
  </r>
  <r>
    <x v="22"/>
    <x v="6"/>
    <x v="3"/>
    <x v="3"/>
    <n v="22"/>
    <n v="362"/>
    <n v="506"/>
    <x v="46"/>
    <n v="3168"/>
  </r>
  <r>
    <x v="23"/>
    <x v="1"/>
    <x v="1"/>
    <x v="2"/>
    <n v="5"/>
    <n v="385"/>
    <n v="539"/>
    <x v="47"/>
    <n v="770"/>
  </r>
  <r>
    <x v="23"/>
    <x v="7"/>
    <x v="1"/>
    <x v="3"/>
    <n v="20"/>
    <n v="478"/>
    <n v="669"/>
    <x v="48"/>
    <n v="3820"/>
  </r>
  <r>
    <x v="24"/>
    <x v="3"/>
    <x v="1"/>
    <x v="3"/>
    <n v="14"/>
    <n v="270"/>
    <n v="378"/>
    <x v="4"/>
    <n v="1512"/>
  </r>
  <r>
    <x v="24"/>
    <x v="8"/>
    <x v="0"/>
    <x v="0"/>
    <n v="21"/>
    <n v="213"/>
    <n v="298"/>
    <x v="49"/>
    <n v="1785"/>
  </r>
  <r>
    <x v="25"/>
    <x v="3"/>
    <x v="1"/>
    <x v="1"/>
    <n v="6"/>
    <n v="224"/>
    <n v="313"/>
    <x v="50"/>
    <n v="534"/>
  </r>
  <r>
    <x v="25"/>
    <x v="9"/>
    <x v="3"/>
    <x v="0"/>
    <n v="24"/>
    <n v="472"/>
    <n v="660"/>
    <x v="28"/>
    <n v="4512"/>
  </r>
  <r>
    <x v="26"/>
    <x v="4"/>
    <x v="2"/>
    <x v="0"/>
    <n v="18"/>
    <n v="427"/>
    <n v="597"/>
    <x v="51"/>
    <n v="3060"/>
  </r>
  <r>
    <x v="26"/>
    <x v="0"/>
    <x v="2"/>
    <x v="4"/>
    <n v="19"/>
    <n v="300"/>
    <n v="420"/>
    <x v="52"/>
    <n v="2280"/>
  </r>
  <r>
    <x v="27"/>
    <x v="4"/>
    <x v="0"/>
    <x v="3"/>
    <n v="6"/>
    <n v="265"/>
    <n v="371"/>
    <x v="53"/>
    <n v="636"/>
  </r>
  <r>
    <x v="27"/>
    <x v="2"/>
    <x v="2"/>
    <x v="1"/>
    <n v="23"/>
    <n v="382"/>
    <n v="534"/>
    <x v="54"/>
    <n v="3496"/>
  </r>
  <r>
    <x v="28"/>
    <x v="5"/>
    <x v="3"/>
    <x v="1"/>
    <n v="8"/>
    <n v="407"/>
    <n v="569"/>
    <x v="55"/>
    <n v="1296"/>
  </r>
  <r>
    <x v="28"/>
    <x v="1"/>
    <x v="2"/>
    <x v="4"/>
    <n v="15"/>
    <n v="105"/>
    <n v="147"/>
    <x v="56"/>
    <n v="630"/>
  </r>
  <r>
    <x v="29"/>
    <x v="5"/>
    <x v="2"/>
    <x v="2"/>
    <n v="14"/>
    <n v="434"/>
    <n v="607"/>
    <x v="57"/>
    <n v="2422"/>
  </r>
  <r>
    <x v="29"/>
    <x v="1"/>
    <x v="3"/>
    <x v="4"/>
    <n v="5"/>
    <n v="385"/>
    <n v="539"/>
    <x v="47"/>
    <n v="770"/>
  </r>
  <r>
    <x v="30"/>
    <x v="6"/>
    <x v="0"/>
    <x v="0"/>
    <n v="19"/>
    <n v="362"/>
    <n v="506"/>
    <x v="58"/>
    <n v="2736"/>
  </r>
  <r>
    <x v="30"/>
    <x v="3"/>
    <x v="3"/>
    <x v="3"/>
    <n v="13"/>
    <n v="270"/>
    <n v="378"/>
    <x v="59"/>
    <n v="1404"/>
  </r>
  <r>
    <x v="31"/>
    <x v="7"/>
    <x v="3"/>
    <x v="0"/>
    <n v="10"/>
    <n v="478"/>
    <n v="669"/>
    <x v="60"/>
    <n v="1910"/>
  </r>
  <r>
    <x v="31"/>
    <x v="3"/>
    <x v="1"/>
    <x v="2"/>
    <n v="21"/>
    <n v="224"/>
    <n v="313"/>
    <x v="7"/>
    <n v="1869"/>
  </r>
  <r>
    <x v="32"/>
    <x v="8"/>
    <x v="2"/>
    <x v="2"/>
    <n v="19"/>
    <n v="213"/>
    <n v="298"/>
    <x v="61"/>
    <n v="1615"/>
  </r>
  <r>
    <x v="32"/>
    <x v="4"/>
    <x v="1"/>
    <x v="4"/>
    <n v="8"/>
    <n v="427"/>
    <n v="597"/>
    <x v="10"/>
    <n v="1360"/>
  </r>
  <r>
    <x v="33"/>
    <x v="9"/>
    <x v="0"/>
    <x v="1"/>
    <n v="17"/>
    <n v="472"/>
    <n v="660"/>
    <x v="62"/>
    <n v="3196"/>
  </r>
  <r>
    <x v="33"/>
    <x v="4"/>
    <x v="1"/>
    <x v="2"/>
    <n v="10"/>
    <n v="265"/>
    <n v="371"/>
    <x v="63"/>
    <n v="1060"/>
  </r>
  <r>
    <x v="34"/>
    <x v="10"/>
    <x v="1"/>
    <x v="2"/>
    <n v="5"/>
    <n v="255"/>
    <n v="357"/>
    <x v="64"/>
    <n v="510"/>
  </r>
  <r>
    <x v="34"/>
    <x v="5"/>
    <x v="0"/>
    <x v="0"/>
    <n v="8"/>
    <n v="407"/>
    <n v="569"/>
    <x v="55"/>
    <n v="1296"/>
  </r>
  <r>
    <x v="35"/>
    <x v="11"/>
    <x v="1"/>
    <x v="4"/>
    <n v="13"/>
    <n v="278"/>
    <n v="389"/>
    <x v="65"/>
    <n v="1443"/>
  </r>
  <r>
    <x v="35"/>
    <x v="5"/>
    <x v="3"/>
    <x v="0"/>
    <n v="14"/>
    <n v="434"/>
    <n v="607"/>
    <x v="57"/>
    <n v="2422"/>
  </r>
  <r>
    <x v="36"/>
    <x v="12"/>
    <x v="1"/>
    <x v="2"/>
    <n v="21"/>
    <n v="206"/>
    <n v="288"/>
    <x v="66"/>
    <n v="1722"/>
  </r>
  <r>
    <x v="36"/>
    <x v="6"/>
    <x v="2"/>
    <x v="2"/>
    <n v="19"/>
    <n v="362"/>
    <n v="506"/>
    <x v="58"/>
    <n v="2736"/>
  </r>
  <r>
    <x v="37"/>
    <x v="13"/>
    <x v="3"/>
    <x v="4"/>
    <n v="8"/>
    <n v="474"/>
    <n v="663"/>
    <x v="31"/>
    <n v="1512"/>
  </r>
  <r>
    <x v="37"/>
    <x v="0"/>
    <x v="0"/>
    <x v="1"/>
    <n v="10"/>
    <n v="300"/>
    <n v="420"/>
    <x v="67"/>
    <n v="1200"/>
  </r>
  <r>
    <x v="38"/>
    <x v="0"/>
    <x v="3"/>
    <x v="3"/>
    <n v="10"/>
    <n v="228"/>
    <n v="319"/>
    <x v="68"/>
    <n v="910"/>
  </r>
  <r>
    <x v="38"/>
    <x v="2"/>
    <x v="2"/>
    <x v="2"/>
    <n v="5"/>
    <n v="382"/>
    <n v="534"/>
    <x v="5"/>
    <n v="760"/>
  </r>
  <r>
    <x v="39"/>
    <x v="14"/>
    <x v="0"/>
    <x v="0"/>
    <n v="19"/>
    <n v="360"/>
    <n v="504"/>
    <x v="35"/>
    <n v="2736"/>
  </r>
  <r>
    <x v="40"/>
    <x v="5"/>
    <x v="1"/>
    <x v="2"/>
    <n v="20"/>
    <n v="407"/>
    <n v="569"/>
    <x v="69"/>
    <n v="3240"/>
  </r>
  <r>
    <x v="41"/>
    <x v="1"/>
    <x v="3"/>
    <x v="0"/>
    <n v="12"/>
    <n v="105"/>
    <n v="147"/>
    <x v="70"/>
    <n v="504"/>
  </r>
  <r>
    <x v="42"/>
    <x v="3"/>
    <x v="2"/>
    <x v="2"/>
    <n v="14"/>
    <n v="270"/>
    <n v="378"/>
    <x v="4"/>
    <n v="1512"/>
  </r>
  <r>
    <x v="42"/>
    <x v="1"/>
    <x v="1"/>
    <x v="4"/>
    <n v="5"/>
    <n v="385"/>
    <n v="539"/>
    <x v="47"/>
    <n v="770"/>
  </r>
  <r>
    <x v="43"/>
    <x v="3"/>
    <x v="1"/>
    <x v="2"/>
    <n v="22"/>
    <n v="224"/>
    <n v="313"/>
    <x v="71"/>
    <n v="1958"/>
  </r>
  <r>
    <x v="44"/>
    <x v="4"/>
    <x v="0"/>
    <x v="1"/>
    <n v="20"/>
    <n v="427"/>
    <n v="597"/>
    <x v="72"/>
    <n v="3400"/>
  </r>
  <r>
    <x v="45"/>
    <x v="4"/>
    <x v="3"/>
    <x v="2"/>
    <n v="21"/>
    <n v="265"/>
    <n v="371"/>
    <x v="73"/>
    <n v="2226"/>
  </r>
  <r>
    <x v="46"/>
    <x v="5"/>
    <x v="2"/>
    <x v="3"/>
    <n v="24"/>
    <n v="407"/>
    <n v="569"/>
    <x v="74"/>
    <n v="3888"/>
  </r>
  <r>
    <x v="47"/>
    <x v="0"/>
    <x v="2"/>
    <x v="3"/>
    <n v="13"/>
    <n v="300"/>
    <n v="420"/>
    <x v="75"/>
    <n v="1560"/>
  </r>
  <r>
    <x v="48"/>
    <x v="2"/>
    <x v="2"/>
    <x v="4"/>
    <n v="7"/>
    <n v="382"/>
    <n v="534"/>
    <x v="76"/>
    <n v="1064"/>
  </r>
  <r>
    <x v="49"/>
    <x v="1"/>
    <x v="0"/>
    <x v="4"/>
    <n v="24"/>
    <n v="105"/>
    <n v="147"/>
    <x v="77"/>
    <n v="1008"/>
  </r>
  <r>
    <x v="50"/>
    <x v="1"/>
    <x v="2"/>
    <x v="2"/>
    <n v="11"/>
    <n v="385"/>
    <n v="539"/>
    <x v="78"/>
    <n v="1694"/>
  </r>
  <r>
    <x v="51"/>
    <x v="3"/>
    <x v="0"/>
    <x v="2"/>
    <n v="6"/>
    <n v="270"/>
    <n v="378"/>
    <x v="79"/>
    <n v="648"/>
  </r>
  <r>
    <x v="52"/>
    <x v="3"/>
    <x v="1"/>
    <x v="4"/>
    <n v="3"/>
    <n v="224"/>
    <n v="313"/>
    <x v="80"/>
    <n v="267"/>
  </r>
  <r>
    <x v="53"/>
    <x v="4"/>
    <x v="1"/>
    <x v="0"/>
    <n v="3"/>
    <n v="427"/>
    <n v="597"/>
    <x v="81"/>
    <n v="510"/>
  </r>
  <r>
    <x v="53"/>
    <x v="5"/>
    <x v="3"/>
    <x v="3"/>
    <n v="5"/>
    <n v="434"/>
    <n v="607"/>
    <x v="21"/>
    <n v="865"/>
  </r>
  <r>
    <x v="54"/>
    <x v="4"/>
    <x v="0"/>
    <x v="4"/>
    <n v="6"/>
    <n v="265"/>
    <n v="371"/>
    <x v="53"/>
    <n v="636"/>
  </r>
  <r>
    <x v="54"/>
    <x v="6"/>
    <x v="3"/>
    <x v="4"/>
    <n v="2"/>
    <n v="362"/>
    <n v="506"/>
    <x v="82"/>
    <n v="288"/>
  </r>
  <r>
    <x v="55"/>
    <x v="0"/>
    <x v="2"/>
    <x v="1"/>
    <n v="1"/>
    <n v="300"/>
    <n v="420"/>
    <x v="83"/>
    <n v="120"/>
  </r>
  <r>
    <x v="56"/>
    <x v="5"/>
    <x v="3"/>
    <x v="0"/>
    <n v="7"/>
    <n v="434"/>
    <n v="607"/>
    <x v="84"/>
    <n v="1211"/>
  </r>
  <r>
    <x v="56"/>
    <x v="2"/>
    <x v="1"/>
    <x v="1"/>
    <n v="8"/>
    <n v="382"/>
    <n v="534"/>
    <x v="43"/>
    <n v="1216"/>
  </r>
  <r>
    <x v="57"/>
    <x v="6"/>
    <x v="3"/>
    <x v="3"/>
    <n v="3"/>
    <n v="362"/>
    <n v="506"/>
    <x v="85"/>
    <n v="432"/>
  </r>
  <r>
    <x v="57"/>
    <x v="1"/>
    <x v="3"/>
    <x v="2"/>
    <n v="4"/>
    <n v="105"/>
    <n v="147"/>
    <x v="86"/>
    <n v="168"/>
  </r>
  <r>
    <x v="58"/>
    <x v="7"/>
    <x v="3"/>
    <x v="4"/>
    <n v="3"/>
    <n v="478"/>
    <n v="669"/>
    <x v="87"/>
    <n v="573"/>
  </r>
  <r>
    <x v="58"/>
    <x v="1"/>
    <x v="3"/>
    <x v="3"/>
    <n v="9"/>
    <n v="385"/>
    <n v="539"/>
    <x v="88"/>
    <n v="1386"/>
  </r>
  <r>
    <x v="59"/>
    <x v="8"/>
    <x v="3"/>
    <x v="3"/>
    <n v="9"/>
    <n v="213"/>
    <n v="298"/>
    <x v="89"/>
    <n v="765"/>
  </r>
  <r>
    <x v="59"/>
    <x v="3"/>
    <x v="2"/>
    <x v="2"/>
    <n v="1"/>
    <n v="270"/>
    <n v="378"/>
    <x v="90"/>
    <n v="108"/>
  </r>
  <r>
    <x v="60"/>
    <x v="9"/>
    <x v="1"/>
    <x v="2"/>
    <n v="3"/>
    <n v="472"/>
    <n v="660"/>
    <x v="91"/>
    <n v="564"/>
  </r>
  <r>
    <x v="60"/>
    <x v="3"/>
    <x v="0"/>
    <x v="0"/>
    <n v="5"/>
    <n v="224"/>
    <n v="313"/>
    <x v="92"/>
    <n v="445"/>
  </r>
  <r>
    <x v="61"/>
    <x v="10"/>
    <x v="1"/>
    <x v="4"/>
    <n v="5"/>
    <n v="255"/>
    <n v="357"/>
    <x v="64"/>
    <n v="510"/>
  </r>
  <r>
    <x v="61"/>
    <x v="4"/>
    <x v="3"/>
    <x v="0"/>
    <n v="2"/>
    <n v="427"/>
    <n v="597"/>
    <x v="93"/>
    <n v="340"/>
  </r>
  <r>
    <x v="62"/>
    <x v="11"/>
    <x v="1"/>
    <x v="2"/>
    <n v="11"/>
    <n v="278"/>
    <n v="389"/>
    <x v="94"/>
    <n v="1221"/>
  </r>
  <r>
    <x v="62"/>
    <x v="4"/>
    <x v="2"/>
    <x v="2"/>
    <n v="5"/>
    <n v="265"/>
    <n v="371"/>
    <x v="95"/>
    <n v="530"/>
  </r>
  <r>
    <x v="63"/>
    <x v="12"/>
    <x v="0"/>
    <x v="0"/>
    <n v="12"/>
    <n v="206"/>
    <n v="288"/>
    <x v="96"/>
    <n v="984"/>
  </r>
  <r>
    <x v="63"/>
    <x v="5"/>
    <x v="0"/>
    <x v="1"/>
    <n v="14"/>
    <n v="407"/>
    <n v="569"/>
    <x v="97"/>
    <n v="2268"/>
  </r>
  <r>
    <x v="64"/>
    <x v="13"/>
    <x v="3"/>
    <x v="0"/>
    <n v="5"/>
    <n v="474"/>
    <n v="663"/>
    <x v="98"/>
    <n v="945"/>
  </r>
  <r>
    <x v="64"/>
    <x v="5"/>
    <x v="1"/>
    <x v="2"/>
    <n v="22"/>
    <n v="434"/>
    <n v="607"/>
    <x v="99"/>
    <n v="3806"/>
  </r>
  <r>
    <x v="65"/>
    <x v="0"/>
    <x v="2"/>
    <x v="2"/>
    <n v="13"/>
    <n v="228"/>
    <n v="319"/>
    <x v="100"/>
    <n v="1183"/>
  </r>
  <r>
    <x v="65"/>
    <x v="6"/>
    <x v="1"/>
    <x v="4"/>
    <n v="20"/>
    <n v="362"/>
    <n v="506"/>
    <x v="101"/>
    <n v="2880"/>
  </r>
  <r>
    <x v="66"/>
    <x v="14"/>
    <x v="0"/>
    <x v="1"/>
    <n v="10"/>
    <n v="360"/>
    <n v="504"/>
    <x v="102"/>
    <n v="1440"/>
  </r>
  <r>
    <x v="66"/>
    <x v="7"/>
    <x v="1"/>
    <x v="2"/>
    <n v="21"/>
    <n v="478"/>
    <n v="669"/>
    <x v="25"/>
    <n v="4011"/>
  </r>
  <r>
    <x v="67"/>
    <x v="0"/>
    <x v="2"/>
    <x v="2"/>
    <n v="8"/>
    <n v="300"/>
    <n v="420"/>
    <x v="0"/>
    <n v="960"/>
  </r>
  <r>
    <x v="67"/>
    <x v="8"/>
    <x v="3"/>
    <x v="4"/>
    <n v="24"/>
    <n v="213"/>
    <n v="298"/>
    <x v="103"/>
    <n v="2040"/>
  </r>
  <r>
    <x v="68"/>
    <x v="2"/>
    <x v="0"/>
    <x v="0"/>
    <n v="14"/>
    <n v="382"/>
    <n v="534"/>
    <x v="104"/>
    <n v="2128"/>
  </r>
  <r>
    <x v="68"/>
    <x v="9"/>
    <x v="3"/>
    <x v="3"/>
    <n v="23"/>
    <n v="472"/>
    <n v="660"/>
    <x v="105"/>
    <n v="4324"/>
  </r>
  <r>
    <x v="69"/>
    <x v="1"/>
    <x v="3"/>
    <x v="0"/>
    <n v="9"/>
    <n v="105"/>
    <n v="147"/>
    <x v="106"/>
    <n v="378"/>
  </r>
  <r>
    <x v="69"/>
    <x v="10"/>
    <x v="1"/>
    <x v="2"/>
    <n v="5"/>
    <n v="255"/>
    <n v="357"/>
    <x v="64"/>
    <n v="510"/>
  </r>
  <r>
    <x v="70"/>
    <x v="1"/>
    <x v="2"/>
    <x v="2"/>
    <n v="7"/>
    <n v="385"/>
    <n v="539"/>
    <x v="107"/>
    <n v="1078"/>
  </r>
  <r>
    <x v="70"/>
    <x v="11"/>
    <x v="1"/>
    <x v="4"/>
    <n v="6"/>
    <n v="278"/>
    <n v="389"/>
    <x v="108"/>
    <n v="666"/>
  </r>
  <r>
    <x v="71"/>
    <x v="3"/>
    <x v="0"/>
    <x v="1"/>
    <n v="5"/>
    <n v="270"/>
    <n v="378"/>
    <x v="109"/>
    <n v="540"/>
  </r>
  <r>
    <x v="71"/>
    <x v="12"/>
    <x v="1"/>
    <x v="2"/>
    <n v="8"/>
    <n v="206"/>
    <n v="288"/>
    <x v="110"/>
    <n v="656"/>
  </r>
  <r>
    <x v="72"/>
    <x v="3"/>
    <x v="2"/>
    <x v="3"/>
    <n v="12"/>
    <n v="224"/>
    <n v="313"/>
    <x v="111"/>
    <n v="1068"/>
  </r>
  <r>
    <x v="72"/>
    <x v="13"/>
    <x v="3"/>
    <x v="2"/>
    <n v="5"/>
    <n v="474"/>
    <n v="663"/>
    <x v="98"/>
    <n v="945"/>
  </r>
  <r>
    <x v="73"/>
    <x v="4"/>
    <x v="2"/>
    <x v="4"/>
    <n v="5"/>
    <n v="427"/>
    <n v="597"/>
    <x v="112"/>
    <n v="850"/>
  </r>
  <r>
    <x v="73"/>
    <x v="0"/>
    <x v="2"/>
    <x v="3"/>
    <n v="13"/>
    <n v="228"/>
    <n v="319"/>
    <x v="100"/>
    <n v="1183"/>
  </r>
  <r>
    <x v="74"/>
    <x v="4"/>
    <x v="2"/>
    <x v="2"/>
    <n v="14"/>
    <n v="265"/>
    <n v="371"/>
    <x v="40"/>
    <n v="1484"/>
  </r>
  <r>
    <x v="74"/>
    <x v="14"/>
    <x v="0"/>
    <x v="4"/>
    <n v="10"/>
    <n v="360"/>
    <n v="504"/>
    <x v="102"/>
    <n v="1440"/>
  </r>
  <r>
    <x v="75"/>
    <x v="5"/>
    <x v="1"/>
    <x v="4"/>
    <n v="4"/>
    <n v="407"/>
    <n v="569"/>
    <x v="113"/>
    <n v="648"/>
  </r>
  <r>
    <x v="75"/>
    <x v="5"/>
    <x v="0"/>
    <x v="2"/>
    <n v="8"/>
    <n v="407"/>
    <n v="569"/>
    <x v="55"/>
    <n v="1296"/>
  </r>
  <r>
    <x v="76"/>
    <x v="5"/>
    <x v="1"/>
    <x v="0"/>
    <n v="13"/>
    <n v="434"/>
    <n v="607"/>
    <x v="114"/>
    <n v="2249"/>
  </r>
  <r>
    <x v="76"/>
    <x v="5"/>
    <x v="3"/>
    <x v="3"/>
    <n v="14"/>
    <n v="434"/>
    <n v="607"/>
    <x v="57"/>
    <n v="2422"/>
  </r>
  <r>
    <x v="77"/>
    <x v="6"/>
    <x v="0"/>
    <x v="4"/>
    <n v="14"/>
    <n v="362"/>
    <n v="506"/>
    <x v="115"/>
    <n v="2016"/>
  </r>
  <r>
    <x v="77"/>
    <x v="6"/>
    <x v="3"/>
    <x v="4"/>
    <n v="19"/>
    <n v="362"/>
    <n v="506"/>
    <x v="58"/>
    <n v="2736"/>
  </r>
  <r>
    <x v="78"/>
    <x v="7"/>
    <x v="1"/>
    <x v="1"/>
    <n v="24"/>
    <n v="478"/>
    <n v="669"/>
    <x v="116"/>
    <n v="4584"/>
  </r>
  <r>
    <x v="78"/>
    <x v="7"/>
    <x v="2"/>
    <x v="1"/>
    <n v="10"/>
    <n v="478"/>
    <n v="669"/>
    <x v="60"/>
    <n v="1910"/>
  </r>
  <r>
    <x v="79"/>
    <x v="8"/>
    <x v="3"/>
    <x v="2"/>
    <n v="10"/>
    <n v="213"/>
    <n v="298"/>
    <x v="117"/>
    <n v="850"/>
  </r>
  <r>
    <x v="79"/>
    <x v="8"/>
    <x v="3"/>
    <x v="0"/>
    <n v="5"/>
    <n v="213"/>
    <n v="298"/>
    <x v="118"/>
    <n v="425"/>
  </r>
  <r>
    <x v="80"/>
    <x v="9"/>
    <x v="3"/>
    <x v="3"/>
    <n v="12"/>
    <n v="472"/>
    <n v="660"/>
    <x v="119"/>
    <n v="2256"/>
  </r>
  <r>
    <x v="80"/>
    <x v="9"/>
    <x v="3"/>
    <x v="3"/>
    <n v="12"/>
    <n v="472"/>
    <n v="660"/>
    <x v="119"/>
    <n v="2256"/>
  </r>
  <r>
    <x v="81"/>
    <x v="10"/>
    <x v="1"/>
    <x v="2"/>
    <n v="20"/>
    <n v="255"/>
    <n v="357"/>
    <x v="120"/>
    <n v="2040"/>
  </r>
  <r>
    <x v="81"/>
    <x v="10"/>
    <x v="1"/>
    <x v="3"/>
    <n v="5"/>
    <n v="255"/>
    <n v="357"/>
    <x v="64"/>
    <n v="510"/>
  </r>
  <r>
    <x v="82"/>
    <x v="11"/>
    <x v="1"/>
    <x v="3"/>
    <n v="23"/>
    <n v="278"/>
    <n v="389"/>
    <x v="121"/>
    <n v="2553"/>
  </r>
  <r>
    <x v="82"/>
    <x v="11"/>
    <x v="0"/>
    <x v="0"/>
    <n v="14"/>
    <n v="278"/>
    <n v="389"/>
    <x v="122"/>
    <n v="1554"/>
  </r>
  <r>
    <x v="83"/>
    <x v="12"/>
    <x v="1"/>
    <x v="1"/>
    <n v="11"/>
    <n v="206"/>
    <n v="288"/>
    <x v="123"/>
    <n v="902"/>
  </r>
  <r>
    <x v="83"/>
    <x v="12"/>
    <x v="3"/>
    <x v="0"/>
    <n v="12"/>
    <n v="206"/>
    <n v="288"/>
    <x v="96"/>
    <n v="984"/>
  </r>
  <r>
    <x v="84"/>
    <x v="13"/>
    <x v="2"/>
    <x v="0"/>
    <n v="9"/>
    <n v="474"/>
    <n v="663"/>
    <x v="124"/>
    <n v="1701"/>
  </r>
  <r>
    <x v="84"/>
    <x v="13"/>
    <x v="2"/>
    <x v="4"/>
    <n v="5"/>
    <n v="474"/>
    <n v="663"/>
    <x v="98"/>
    <n v="945"/>
  </r>
  <r>
    <x v="85"/>
    <x v="0"/>
    <x v="0"/>
    <x v="3"/>
    <n v="7"/>
    <n v="228"/>
    <n v="319"/>
    <x v="125"/>
    <n v="637"/>
  </r>
  <r>
    <x v="85"/>
    <x v="0"/>
    <x v="2"/>
    <x v="1"/>
    <n v="2"/>
    <n v="228"/>
    <n v="319"/>
    <x v="126"/>
    <n v="182"/>
  </r>
  <r>
    <x v="86"/>
    <x v="14"/>
    <x v="3"/>
    <x v="1"/>
    <n v="8"/>
    <n v="360"/>
    <n v="504"/>
    <x v="127"/>
    <n v="1152"/>
  </r>
  <r>
    <x v="86"/>
    <x v="14"/>
    <x v="2"/>
    <x v="4"/>
    <n v="4"/>
    <n v="360"/>
    <n v="504"/>
    <x v="128"/>
    <n v="576"/>
  </r>
  <r>
    <x v="87"/>
    <x v="5"/>
    <x v="3"/>
    <x v="1"/>
    <n v="15"/>
    <n v="360"/>
    <n v="315"/>
    <x v="129"/>
    <n v="-675"/>
  </r>
  <r>
    <x v="87"/>
    <x v="14"/>
    <x v="3"/>
    <x v="4"/>
    <n v="8"/>
    <n v="360"/>
    <n v="663"/>
    <x v="31"/>
    <n v="2424"/>
  </r>
  <r>
    <x v="87"/>
    <x v="1"/>
    <x v="2"/>
    <x v="2"/>
    <n v="2"/>
    <n v="265"/>
    <n v="397"/>
    <x v="130"/>
    <n v="264"/>
  </r>
  <r>
    <x v="88"/>
    <x v="10"/>
    <x v="3"/>
    <x v="2"/>
    <n v="3"/>
    <n v="224"/>
    <n v="205"/>
    <x v="131"/>
    <n v="-57"/>
  </r>
  <r>
    <x v="88"/>
    <x v="8"/>
    <x v="1"/>
    <x v="4"/>
    <n v="11"/>
    <n v="228"/>
    <n v="342"/>
    <x v="132"/>
    <n v="1254"/>
  </r>
  <r>
    <x v="88"/>
    <x v="5"/>
    <x v="1"/>
    <x v="2"/>
    <n v="3"/>
    <n v="224"/>
    <n v="336"/>
    <x v="133"/>
    <n v="336"/>
  </r>
  <r>
    <x v="89"/>
    <x v="2"/>
    <x v="3"/>
    <x v="0"/>
    <n v="3"/>
    <n v="270"/>
    <n v="546"/>
    <x v="134"/>
    <n v="828"/>
  </r>
  <r>
    <x v="89"/>
    <x v="3"/>
    <x v="3"/>
    <x v="0"/>
    <n v="9"/>
    <n v="474"/>
    <n v="711"/>
    <x v="135"/>
    <n v="2133"/>
  </r>
  <r>
    <x v="89"/>
    <x v="4"/>
    <x v="0"/>
    <x v="0"/>
    <n v="5"/>
    <n v="270"/>
    <n v="405"/>
    <x v="136"/>
    <n v="675"/>
  </r>
  <r>
    <x v="90"/>
    <x v="5"/>
    <x v="2"/>
    <x v="4"/>
    <n v="3"/>
    <n v="228"/>
    <n v="392"/>
    <x v="137"/>
    <n v="492"/>
  </r>
  <r>
    <x v="90"/>
    <x v="9"/>
    <x v="1"/>
    <x v="1"/>
    <n v="7"/>
    <n v="385"/>
    <n v="498"/>
    <x v="138"/>
    <n v="791"/>
  </r>
  <r>
    <x v="90"/>
    <x v="7"/>
    <x v="1"/>
    <x v="0"/>
    <n v="5"/>
    <n v="228"/>
    <n v="342"/>
    <x v="139"/>
    <n v="570"/>
  </r>
  <r>
    <x v="90"/>
    <x v="7"/>
    <x v="1"/>
    <x v="2"/>
    <n v="5"/>
    <n v="362"/>
    <n v="543"/>
    <x v="140"/>
    <n v="905"/>
  </r>
  <r>
    <x v="90"/>
    <x v="5"/>
    <x v="3"/>
    <x v="4"/>
    <n v="8"/>
    <n v="427"/>
    <n v="640"/>
    <x v="141"/>
    <n v="1704"/>
  </r>
  <r>
    <x v="90"/>
    <x v="2"/>
    <x v="3"/>
    <x v="3"/>
    <n v="1"/>
    <n v="385"/>
    <n v="577"/>
    <x v="142"/>
    <n v="192"/>
  </r>
  <r>
    <x v="91"/>
    <x v="0"/>
    <x v="2"/>
    <x v="1"/>
    <n v="1"/>
    <n v="105"/>
    <n v="504"/>
    <x v="143"/>
    <n v="399"/>
  </r>
  <r>
    <x v="91"/>
    <x v="1"/>
    <x v="0"/>
    <x v="0"/>
    <n v="2"/>
    <n v="434"/>
    <n v="651"/>
    <x v="144"/>
    <n v="434"/>
  </r>
  <r>
    <x v="91"/>
    <x v="0"/>
    <x v="2"/>
    <x v="2"/>
    <n v="19"/>
    <n v="105"/>
    <n v="157"/>
    <x v="145"/>
    <n v="988"/>
  </r>
  <r>
    <x v="92"/>
    <x v="5"/>
    <x v="0"/>
    <x v="3"/>
    <n v="8"/>
    <n v="474"/>
    <n v="417"/>
    <x v="146"/>
    <n v="-456"/>
  </r>
  <r>
    <x v="92"/>
    <x v="0"/>
    <x v="3"/>
    <x v="3"/>
    <n v="10"/>
    <n v="474"/>
    <n v="711"/>
    <x v="147"/>
    <n v="2370"/>
  </r>
  <r>
    <x v="92"/>
    <x v="2"/>
    <x v="0"/>
    <x v="1"/>
    <n v="4"/>
    <n v="224"/>
    <n v="336"/>
    <x v="148"/>
    <n v="448"/>
  </r>
  <r>
    <x v="93"/>
    <x v="8"/>
    <x v="0"/>
    <x v="4"/>
    <n v="10"/>
    <n v="382"/>
    <n v="319"/>
    <x v="68"/>
    <n v="-630"/>
  </r>
  <r>
    <x v="93"/>
    <x v="6"/>
    <x v="3"/>
    <x v="3"/>
    <n v="6"/>
    <n v="407"/>
    <n v="610"/>
    <x v="149"/>
    <n v="1218"/>
  </r>
  <r>
    <x v="93"/>
    <x v="4"/>
    <x v="3"/>
    <x v="4"/>
    <n v="8"/>
    <n v="382"/>
    <n v="573"/>
    <x v="150"/>
    <n v="1528"/>
  </r>
  <r>
    <x v="94"/>
    <x v="4"/>
    <x v="2"/>
    <x v="1"/>
    <n v="7"/>
    <n v="206"/>
    <n v="631"/>
    <x v="151"/>
    <n v="2975"/>
  </r>
  <r>
    <x v="94"/>
    <x v="6"/>
    <x v="1"/>
    <x v="4"/>
    <n v="14"/>
    <n v="362"/>
    <n v="543"/>
    <x v="152"/>
    <n v="2534"/>
  </r>
  <r>
    <x v="94"/>
    <x v="0"/>
    <x v="1"/>
    <x v="2"/>
    <n v="8"/>
    <n v="270"/>
    <n v="405"/>
    <x v="153"/>
    <n v="1080"/>
  </r>
  <r>
    <x v="95"/>
    <x v="14"/>
    <x v="2"/>
    <x v="0"/>
    <n v="9"/>
    <n v="278"/>
    <n v="420"/>
    <x v="154"/>
    <n v="1278"/>
  </r>
  <r>
    <x v="95"/>
    <x v="13"/>
    <x v="0"/>
    <x v="2"/>
    <n v="11"/>
    <n v="434"/>
    <n v="651"/>
    <x v="155"/>
    <n v="2387"/>
  </r>
  <r>
    <x v="95"/>
    <x v="4"/>
    <x v="2"/>
    <x v="2"/>
    <n v="10"/>
    <n v="385"/>
    <n v="577"/>
    <x v="156"/>
    <n v="1920"/>
  </r>
  <r>
    <x v="96"/>
    <x v="4"/>
    <x v="2"/>
    <x v="4"/>
    <n v="5"/>
    <n v="255"/>
    <n v="589"/>
    <x v="157"/>
    <n v="1670"/>
  </r>
  <r>
    <x v="96"/>
    <x v="5"/>
    <x v="2"/>
    <x v="2"/>
    <n v="8"/>
    <n v="407"/>
    <n v="610"/>
    <x v="158"/>
    <n v="1624"/>
  </r>
  <r>
    <x v="96"/>
    <x v="6"/>
    <x v="1"/>
    <x v="4"/>
    <n v="15"/>
    <n v="105"/>
    <n v="157"/>
    <x v="159"/>
    <n v="780"/>
  </r>
  <r>
    <x v="97"/>
    <x v="0"/>
    <x v="1"/>
    <x v="1"/>
    <n v="8"/>
    <n v="472"/>
    <n v="490"/>
    <x v="160"/>
    <n v="144"/>
  </r>
  <r>
    <x v="97"/>
    <x v="12"/>
    <x v="0"/>
    <x v="4"/>
    <n v="8"/>
    <n v="265"/>
    <n v="397"/>
    <x v="161"/>
    <n v="1056"/>
  </r>
  <r>
    <x v="97"/>
    <x v="4"/>
    <x v="3"/>
    <x v="0"/>
    <n v="6"/>
    <n v="382"/>
    <n v="573"/>
    <x v="162"/>
    <n v="1146"/>
  </r>
  <r>
    <x v="98"/>
    <x v="3"/>
    <x v="3"/>
    <x v="0"/>
    <n v="11"/>
    <n v="213"/>
    <n v="561"/>
    <x v="163"/>
    <n v="3828"/>
  </r>
  <r>
    <x v="98"/>
    <x v="5"/>
    <x v="2"/>
    <x v="4"/>
    <n v="13"/>
    <n v="427"/>
    <n v="640"/>
    <x v="164"/>
    <n v="2769"/>
  </r>
  <r>
    <x v="98"/>
    <x v="5"/>
    <x v="1"/>
    <x v="2"/>
    <n v="10"/>
    <n v="360"/>
    <n v="540"/>
    <x v="165"/>
    <n v="1800"/>
  </r>
  <r>
    <x v="99"/>
    <x v="13"/>
    <x v="1"/>
    <x v="3"/>
    <n v="9"/>
    <n v="478"/>
    <n v="637"/>
    <x v="166"/>
    <n v="1431"/>
  </r>
  <r>
    <x v="99"/>
    <x v="11"/>
    <x v="2"/>
    <x v="3"/>
    <n v="5"/>
    <n v="224"/>
    <n v="336"/>
    <x v="167"/>
    <n v="560"/>
  </r>
  <r>
    <x v="99"/>
    <x v="3"/>
    <x v="0"/>
    <x v="0"/>
    <n v="13"/>
    <n v="228"/>
    <n v="342"/>
    <x v="168"/>
    <n v="1482"/>
  </r>
  <r>
    <x v="100"/>
    <x v="3"/>
    <x v="0"/>
    <x v="0"/>
    <n v="7"/>
    <n v="362"/>
    <n v="392"/>
    <x v="169"/>
    <n v="210"/>
  </r>
  <r>
    <x v="100"/>
    <x v="4"/>
    <x v="2"/>
    <x v="3"/>
    <n v="15"/>
    <n v="270"/>
    <n v="405"/>
    <x v="170"/>
    <n v="2025"/>
  </r>
  <r>
    <x v="100"/>
    <x v="3"/>
    <x v="0"/>
    <x v="1"/>
    <n v="5"/>
    <n v="474"/>
    <n v="711"/>
    <x v="171"/>
    <n v="1185"/>
  </r>
  <r>
    <x v="101"/>
    <x v="12"/>
    <x v="1"/>
    <x v="2"/>
    <n v="8"/>
    <n v="434"/>
    <n v="669"/>
    <x v="172"/>
    <n v="1880"/>
  </r>
  <r>
    <x v="101"/>
    <x v="10"/>
    <x v="3"/>
    <x v="2"/>
    <n v="13"/>
    <n v="385"/>
    <n v="577"/>
    <x v="173"/>
    <n v="2496"/>
  </r>
  <r>
    <x v="101"/>
    <x v="1"/>
    <x v="1"/>
    <x v="2"/>
    <n v="14"/>
    <n v="434"/>
    <n v="651"/>
    <x v="174"/>
    <n v="3038"/>
  </r>
  <r>
    <x v="102"/>
    <x v="1"/>
    <x v="1"/>
    <x v="3"/>
    <n v="21"/>
    <n v="407"/>
    <n v="401"/>
    <x v="175"/>
    <n v="-126"/>
  </r>
  <r>
    <x v="102"/>
    <x v="4"/>
    <x v="0"/>
    <x v="1"/>
    <n v="19"/>
    <n v="105"/>
    <n v="157"/>
    <x v="145"/>
    <n v="988"/>
  </r>
  <r>
    <x v="102"/>
    <x v="1"/>
    <x v="2"/>
    <x v="2"/>
    <n v="8"/>
    <n v="407"/>
    <n v="610"/>
    <x v="158"/>
    <n v="1624"/>
  </r>
  <r>
    <x v="103"/>
    <x v="11"/>
    <x v="3"/>
    <x v="3"/>
    <n v="10"/>
    <n v="265"/>
    <n v="490"/>
    <x v="176"/>
    <n v="2250"/>
  </r>
  <r>
    <x v="103"/>
    <x v="9"/>
    <x v="1"/>
    <x v="2"/>
    <n v="14"/>
    <n v="382"/>
    <n v="573"/>
    <x v="177"/>
    <n v="2674"/>
  </r>
  <r>
    <x v="103"/>
    <x v="2"/>
    <x v="1"/>
    <x v="4"/>
    <n v="10"/>
    <n v="265"/>
    <n v="397"/>
    <x v="178"/>
    <n v="1320"/>
  </r>
  <r>
    <x v="104"/>
    <x v="1"/>
    <x v="3"/>
    <x v="3"/>
    <n v="16"/>
    <n v="427"/>
    <n v="175"/>
    <x v="179"/>
    <n v="-4032"/>
  </r>
  <r>
    <x v="104"/>
    <x v="3"/>
    <x v="2"/>
    <x v="2"/>
    <n v="8"/>
    <n v="360"/>
    <n v="540"/>
    <x v="180"/>
    <n v="1440"/>
  </r>
  <r>
    <x v="104"/>
    <x v="0"/>
    <x v="3"/>
    <x v="0"/>
    <n v="7"/>
    <n v="427"/>
    <n v="640"/>
    <x v="181"/>
    <n v="14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DA7642-5F43-47A1-95A2-62B24F6BE733}" name="pvt_GroupedBySales" cacheId="118"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51">
  <location ref="A1:C19" firstHeaderRow="0" firstDataRow="1" firstDataCol="1"/>
  <pivotFields count="13">
    <pivotField compact="0" numFmtId="14" outline="0" subtotalTop="0" showAll="0" defaultSubtotal="0">
      <items count="105">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s>
    </pivotField>
    <pivotField compact="0" outline="0" subtotalTop="0" showAll="0" defaultSubtotal="0">
      <items count="16">
        <item x="12"/>
        <item x="13"/>
        <item x="11"/>
        <item x="3"/>
        <item x="6"/>
        <item x="2"/>
        <item x="0"/>
        <item m="1" x="15"/>
        <item x="10"/>
        <item x="8"/>
        <item x="5"/>
        <item x="9"/>
        <item x="1"/>
        <item x="14"/>
        <item x="7"/>
        <item x="4"/>
      </items>
    </pivotField>
    <pivotField compact="0" outline="0" subtotalTop="0" showAll="0" defaultSubtotal="0">
      <items count="4">
        <item x="1"/>
        <item x="2"/>
        <item x="0"/>
        <item x="3"/>
      </items>
    </pivotField>
    <pivotField compact="0" outline="0" subtotalTop="0" showAll="0" defaultSubtotal="0">
      <items count="5">
        <item x="0"/>
        <item x="4"/>
        <item x="2"/>
        <item x="1"/>
        <item x="3"/>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19">
        <item x="0"/>
        <item x="1"/>
        <item x="2"/>
        <item x="3"/>
        <item x="4"/>
        <item x="5"/>
        <item x="6"/>
        <item x="7"/>
        <item x="8"/>
        <item x="9"/>
        <item x="10"/>
        <item x="11"/>
        <item x="12"/>
        <item x="13"/>
        <item x="14"/>
        <item x="15"/>
        <item x="16"/>
        <item x="17"/>
        <item x="18"/>
      </items>
    </pivotField>
    <pivotField dataField="1" compact="0" outline="0" subtotalTop="0" showAll="0" defaultSubtotal="0"/>
    <pivotField name="Month"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name="Year" compact="0" outline="0" subtotalTop="0" showAll="0" defaultSubtotal="0">
      <items count="4">
        <item x="0"/>
        <item x="1"/>
        <item x="2"/>
        <item x="3"/>
      </items>
    </pivotField>
    <pivotField compact="0" outline="0" subtotalTop="0" dragToRow="0" dragToCol="0" dragToPage="0" showAll="0" defaultSubtotal="0"/>
  </pivotFields>
  <rowFields count="1">
    <field x="7"/>
  </rowFields>
  <rowItems count="18">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 Margin" fld="8" baseField="0" baseItem="0" numFmtId="168"/>
    <dataField name="Margin %" fld="8" showDataAs="percentOfTotal" baseField="7" baseItem="8" numFmtId="10"/>
  </dataFields>
  <formats count="3">
    <format dxfId="5">
      <pivotArea outline="0" collapsedLevelsAreSubtotals="1" fieldPosition="0"/>
    </format>
    <format dxfId="4">
      <pivotArea outline="0" fieldPosition="0">
        <references count="1">
          <reference field="4294967294" count="1">
            <x v="1"/>
          </reference>
        </references>
      </pivotArea>
    </format>
    <format dxfId="3">
      <pivotArea outline="0" fieldPosition="0">
        <references count="1">
          <reference field="4294967294" count="1" selected="0">
            <x v="0"/>
          </reference>
        </references>
      </pivotArea>
    </format>
  </formats>
  <conditionalFormats count="2">
    <conditionalFormat type="all" priority="2">
      <pivotAreas count="1">
        <pivotArea type="data" outline="0" collapsedLevelsAreSubtotals="1" fieldPosition="0">
          <references count="2">
            <reference field="4294967294" count="1" selected="0">
              <x v="1"/>
            </reference>
            <reference field="7" count="17" selected="0">
              <x v="1"/>
              <x v="2"/>
              <x v="3"/>
              <x v="4"/>
              <x v="5"/>
              <x v="6"/>
              <x v="7"/>
              <x v="8"/>
              <x v="9"/>
              <x v="10"/>
              <x v="11"/>
              <x v="12"/>
              <x v="13"/>
              <x v="14"/>
              <x v="15"/>
              <x v="16"/>
              <x v="17"/>
            </reference>
          </references>
        </pivotArea>
      </pivotAreas>
    </conditionalFormat>
    <conditionalFormat type="all" priority="1">
      <pivotAreas count="1">
        <pivotArea type="data" outline="0" collapsedLevelsAreSubtotals="1" fieldPosition="0">
          <references count="2">
            <reference field="4294967294" count="1" selected="0">
              <x v="0"/>
            </reference>
            <reference field="7" count="17" selected="0">
              <x v="1"/>
              <x v="2"/>
              <x v="3"/>
              <x v="4"/>
              <x v="5"/>
              <x v="6"/>
              <x v="7"/>
              <x v="8"/>
              <x v="9"/>
              <x v="10"/>
              <x v="11"/>
              <x v="12"/>
              <x v="13"/>
              <x v="14"/>
              <x v="15"/>
              <x v="16"/>
              <x v="17"/>
            </reference>
          </references>
        </pivotArea>
      </pivotAreas>
    </conditionalFormat>
  </conditionalFormats>
  <chartFormats count="2">
    <chartFormat chart="46" format="0" series="1">
      <pivotArea type="data" outline="0" fieldPosition="0">
        <references count="1">
          <reference field="4294967294" count="1" selected="0">
            <x v="0"/>
          </reference>
        </references>
      </pivotArea>
    </chartFormat>
    <chartFormat chart="4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856BE9-D11C-4A51-B183-8BDF7CA1622F}" name="pvt_YTD" cacheId="118"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46">
  <location ref="A1:C15" firstHeaderRow="1" firstDataRow="2" firstDataCol="1"/>
  <pivotFields count="13">
    <pivotField compact="0" numFmtId="14" outline="0" subtotalTop="0" showAll="0" defaultSubtotal="0">
      <items count="105">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s>
    </pivotField>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name="Month" axis="axisRow"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name="Year" axis="axisCol" compact="0" outline="0" subtotalTop="0" showAll="0" defaultSubtotal="0">
      <items count="4">
        <item x="0"/>
        <item x="1"/>
        <item x="2"/>
        <item x="3"/>
      </items>
    </pivotField>
    <pivotField compact="0" outline="0" subtotalTop="0" dragToRow="0" dragToCol="0" dragToPage="0" showAll="0" defaultSubtotal="0"/>
  </pivotFields>
  <rowFields count="1">
    <field x="9"/>
  </rowFields>
  <rowItems count="13">
    <i>
      <x v="1"/>
    </i>
    <i>
      <x v="2"/>
    </i>
    <i>
      <x v="3"/>
    </i>
    <i>
      <x v="4"/>
    </i>
    <i>
      <x v="5"/>
    </i>
    <i>
      <x v="6"/>
    </i>
    <i>
      <x v="7"/>
    </i>
    <i>
      <x v="8"/>
    </i>
    <i>
      <x v="9"/>
    </i>
    <i>
      <x v="10"/>
    </i>
    <i>
      <x v="11"/>
    </i>
    <i>
      <x v="12"/>
    </i>
    <i t="grand">
      <x/>
    </i>
  </rowItems>
  <colFields count="1">
    <field x="11"/>
  </colFields>
  <colItems count="2">
    <i>
      <x v="1"/>
    </i>
    <i>
      <x v="2"/>
    </i>
  </colItems>
  <dataFields count="1">
    <dataField name="YTD" fld="4" showDataAs="runTotal" baseField="9" baseItem="1048828"/>
  </dataFields>
  <formats count="2">
    <format dxfId="7">
      <pivotArea outline="0" collapsedLevelsAreSubtotals="1" fieldPosition="0"/>
    </format>
    <format dxfId="6">
      <pivotArea outline="0" fieldPosition="0">
        <references count="1">
          <reference field="4294967294" count="1">
            <x v="0"/>
          </reference>
        </references>
      </pivotArea>
    </format>
  </formats>
  <chartFormats count="4">
    <chartFormat chart="9" format="5" series="1">
      <pivotArea type="data" outline="0" fieldPosition="0">
        <references count="2">
          <reference field="4294967294" count="1" selected="0">
            <x v="0"/>
          </reference>
          <reference field="11" count="1" selected="0">
            <x v="2"/>
          </reference>
        </references>
      </pivotArea>
    </chartFormat>
    <chartFormat chart="9" format="6" series="1">
      <pivotArea type="data" outline="0" fieldPosition="0">
        <references count="2">
          <reference field="4294967294" count="1" selected="0">
            <x v="0"/>
          </reference>
          <reference field="11" count="1" selected="0">
            <x v="1"/>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2">
          <reference field="4294967294" count="1" selected="0">
            <x v="0"/>
          </reference>
          <reference field="11" count="1" selected="0">
            <x v="2"/>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8F20AC-0E23-48C2-99BE-DCD374E60D16}" name="pvt_YoY" cacheId="118"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44">
  <location ref="A3:E18" firstHeaderRow="1" firstDataRow="3" firstDataCol="1"/>
  <pivotFields count="13">
    <pivotField compact="0" numFmtId="14" outline="0" subtotalTop="0"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compact="0" outline="0" subtotalTop="0" showAll="0"/>
    <pivotField compact="0" outline="0" subtotalTop="0" showAll="0"/>
    <pivotField compact="0" outline="0" subtotalTop="0" showAll="0"/>
    <pivotField dataField="1" compact="0" outline="0" subtotalTop="0" showAll="0"/>
    <pivotField compact="0" outline="0" subtotalTop="0" showAll="0"/>
    <pivotField compact="0" outline="0" subtotalTop="0" showAll="0"/>
    <pivotField compact="0" outline="0" subtotalTop="0" showAll="0"/>
    <pivotField compact="0" outline="0" subtotalTop="0" showAll="0"/>
    <pivotField name="Month" axis="axisRow"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name="Year" axis="axisCol" compact="0" outline="0" subtotalTop="0" showAll="0">
      <items count="5">
        <item x="0"/>
        <item x="1"/>
        <item x="2"/>
        <item x="3"/>
        <item t="default"/>
      </items>
    </pivotField>
    <pivotField compact="0" outline="0" subtotalTop="0" dragToRow="0" dragToCol="0" dragToPage="0" showAll="0"/>
  </pivotFields>
  <rowFields count="1">
    <field x="9"/>
  </rowFields>
  <rowItems count="13">
    <i>
      <x v="1"/>
    </i>
    <i>
      <x v="2"/>
    </i>
    <i>
      <x v="3"/>
    </i>
    <i>
      <x v="4"/>
    </i>
    <i>
      <x v="5"/>
    </i>
    <i>
      <x v="6"/>
    </i>
    <i>
      <x v="7"/>
    </i>
    <i>
      <x v="8"/>
    </i>
    <i>
      <x v="9"/>
    </i>
    <i>
      <x v="10"/>
    </i>
    <i>
      <x v="11"/>
    </i>
    <i>
      <x v="12"/>
    </i>
    <i t="grand">
      <x/>
    </i>
  </rowItems>
  <colFields count="2">
    <field x="11"/>
    <field x="-2"/>
  </colFields>
  <colItems count="4">
    <i>
      <x v="1"/>
      <x/>
    </i>
    <i r="1" i="1">
      <x v="1"/>
    </i>
    <i>
      <x v="2"/>
      <x/>
    </i>
    <i r="1" i="1">
      <x v="1"/>
    </i>
  </colItems>
  <dataFields count="2">
    <dataField name="Total  Qty" fld="4" baseField="0" baseItem="0" numFmtId="1"/>
    <dataField name="vs PY  %" fld="4" showDataAs="percentDiff" baseField="11" baseItem="1048828" numFmtId="10"/>
  </dataFields>
  <formats count="2">
    <format dxfId="9">
      <pivotArea outline="0" collapsedLevelsAreSubtotals="1" fieldPosition="0"/>
    </format>
    <format dxfId="8">
      <pivotArea outline="0" fieldPosition="0">
        <references count="1">
          <reference field="4294967294" count="1">
            <x v="1"/>
          </reference>
        </references>
      </pivotArea>
    </format>
  </formats>
  <chartFormats count="17">
    <chartFormat chart="9" format="0" series="1">
      <pivotArea type="data" outline="0" fieldPosition="0">
        <references count="1">
          <reference field="4294967294" count="1" selected="0">
            <x v="0"/>
          </reference>
        </references>
      </pivotArea>
    </chartFormat>
    <chartFormat chart="9" format="4" series="1">
      <pivotArea type="data" outline="0" fieldPosition="0">
        <references count="2">
          <reference field="4294967294" count="1" selected="0">
            <x v="0"/>
          </reference>
          <reference field="11" count="1" selected="0">
            <x v="2"/>
          </reference>
        </references>
      </pivotArea>
    </chartFormat>
    <chartFormat chart="9" format="5" series="1">
      <pivotArea type="data" outline="0" fieldPosition="0">
        <references count="2">
          <reference field="4294967294" count="1" selected="0">
            <x v="1"/>
          </reference>
          <reference field="11" count="1" selected="0">
            <x v="2"/>
          </reference>
        </references>
      </pivotArea>
    </chartFormat>
    <chartFormat chart="9" format="6" series="1">
      <pivotArea type="data" outline="0" fieldPosition="0">
        <references count="2">
          <reference field="4294967294" count="1" selected="0">
            <x v="1"/>
          </reference>
          <reference field="11" count="1" selected="0">
            <x v="1"/>
          </reference>
        </references>
      </pivotArea>
    </chartFormat>
    <chartFormat chart="9" format="7">
      <pivotArea type="data" outline="0" fieldPosition="0">
        <references count="3">
          <reference field="4294967294" count="1" selected="0">
            <x v="0"/>
          </reference>
          <reference field="9" count="1" selected="0">
            <x v="1"/>
          </reference>
          <reference field="11" count="1" selected="0">
            <x v="2"/>
          </reference>
        </references>
      </pivotArea>
    </chartFormat>
    <chartFormat chart="9" format="8">
      <pivotArea type="data" outline="0" fieldPosition="0">
        <references count="3">
          <reference field="4294967294" count="1" selected="0">
            <x v="0"/>
          </reference>
          <reference field="9" count="1" selected="0">
            <x v="2"/>
          </reference>
          <reference field="11" count="1" selected="0">
            <x v="2"/>
          </reference>
        </references>
      </pivotArea>
    </chartFormat>
    <chartFormat chart="9" format="9">
      <pivotArea type="data" outline="0" fieldPosition="0">
        <references count="3">
          <reference field="4294967294" count="1" selected="0">
            <x v="0"/>
          </reference>
          <reference field="9" count="1" selected="0">
            <x v="3"/>
          </reference>
          <reference field="11" count="1" selected="0">
            <x v="2"/>
          </reference>
        </references>
      </pivotArea>
    </chartFormat>
    <chartFormat chart="9" format="10">
      <pivotArea type="data" outline="0" fieldPosition="0">
        <references count="3">
          <reference field="4294967294" count="1" selected="0">
            <x v="0"/>
          </reference>
          <reference field="9" count="1" selected="0">
            <x v="4"/>
          </reference>
          <reference field="11" count="1" selected="0">
            <x v="2"/>
          </reference>
        </references>
      </pivotArea>
    </chartFormat>
    <chartFormat chart="9" format="11">
      <pivotArea type="data" outline="0" fieldPosition="0">
        <references count="3">
          <reference field="4294967294" count="1" selected="0">
            <x v="0"/>
          </reference>
          <reference field="9" count="1" selected="0">
            <x v="5"/>
          </reference>
          <reference field="11" count="1" selected="0">
            <x v="2"/>
          </reference>
        </references>
      </pivotArea>
    </chartFormat>
    <chartFormat chart="9" format="12">
      <pivotArea type="data" outline="0" fieldPosition="0">
        <references count="3">
          <reference field="4294967294" count="1" selected="0">
            <x v="0"/>
          </reference>
          <reference field="9" count="1" selected="0">
            <x v="6"/>
          </reference>
          <reference field="11" count="1" selected="0">
            <x v="2"/>
          </reference>
        </references>
      </pivotArea>
    </chartFormat>
    <chartFormat chart="9" format="13">
      <pivotArea type="data" outline="0" fieldPosition="0">
        <references count="3">
          <reference field="4294967294" count="1" selected="0">
            <x v="0"/>
          </reference>
          <reference field="9" count="1" selected="0">
            <x v="7"/>
          </reference>
          <reference field="11" count="1" selected="0">
            <x v="2"/>
          </reference>
        </references>
      </pivotArea>
    </chartFormat>
    <chartFormat chart="9" format="14">
      <pivotArea type="data" outline="0" fieldPosition="0">
        <references count="3">
          <reference field="4294967294" count="1" selected="0">
            <x v="0"/>
          </reference>
          <reference field="9" count="1" selected="0">
            <x v="8"/>
          </reference>
          <reference field="11" count="1" selected="0">
            <x v="2"/>
          </reference>
        </references>
      </pivotArea>
    </chartFormat>
    <chartFormat chart="9" format="15">
      <pivotArea type="data" outline="0" fieldPosition="0">
        <references count="3">
          <reference field="4294967294" count="1" selected="0">
            <x v="0"/>
          </reference>
          <reference field="9" count="1" selected="0">
            <x v="9"/>
          </reference>
          <reference field="11" count="1" selected="0">
            <x v="2"/>
          </reference>
        </references>
      </pivotArea>
    </chartFormat>
    <chartFormat chart="9" format="16">
      <pivotArea type="data" outline="0" fieldPosition="0">
        <references count="3">
          <reference field="4294967294" count="1" selected="0">
            <x v="0"/>
          </reference>
          <reference field="9" count="1" selected="0">
            <x v="10"/>
          </reference>
          <reference field="11" count="1" selected="0">
            <x v="2"/>
          </reference>
        </references>
      </pivotArea>
    </chartFormat>
    <chartFormat chart="9" format="17">
      <pivotArea type="data" outline="0" fieldPosition="0">
        <references count="3">
          <reference field="4294967294" count="1" selected="0">
            <x v="0"/>
          </reference>
          <reference field="9" count="1" selected="0">
            <x v="11"/>
          </reference>
          <reference field="11" count="1" selected="0">
            <x v="2"/>
          </reference>
        </references>
      </pivotArea>
    </chartFormat>
    <chartFormat chart="9" format="18">
      <pivotArea type="data" outline="0" fieldPosition="0">
        <references count="3">
          <reference field="4294967294" count="1" selected="0">
            <x v="0"/>
          </reference>
          <reference field="9" count="1" selected="0">
            <x v="12"/>
          </reference>
          <reference field="11" count="1" selected="0">
            <x v="2"/>
          </reference>
        </references>
      </pivotArea>
    </chartFormat>
    <chartFormat chart="9" format="19" series="1">
      <pivotArea type="data" outline="0" fieldPosition="0">
        <references count="2">
          <reference field="4294967294" count="1" selected="0">
            <x v="0"/>
          </reference>
          <reference field="11"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7E6213-6E67-4468-9421-1D08EFD9E33F}" name="pvt_DiffPM" cacheId="1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5">
  <location ref="G3:I16" firstHeaderRow="0" firstDataRow="1" firstDataCol="1" rowPageCount="1" colPageCount="1"/>
  <pivotFields count="13">
    <pivotField compact="0" numFmtId="14" outline="0" subtotalTop="0" showAll="0" defaultSubtotal="0">
      <items count="105">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name="Month" axis="axisRow"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name="Year" axis="axisPage" compact="0" outline="0" subtotalTop="0" showAll="0" defaultSubtotal="0">
      <items count="4">
        <item x="0"/>
        <item x="1"/>
        <item x="2"/>
        <item x="3"/>
      </items>
    </pivotField>
    <pivotField compact="0" outline="0" subtotalTop="0" dragToRow="0" dragToCol="0" dragToPage="0" showAll="0" defaultSubtotal="0"/>
  </pivotFields>
  <rowFields count="1">
    <field x="9"/>
  </rowFields>
  <rowItems count="13">
    <i>
      <x v="1"/>
    </i>
    <i>
      <x v="2"/>
    </i>
    <i>
      <x v="3"/>
    </i>
    <i>
      <x v="4"/>
    </i>
    <i>
      <x v="5"/>
    </i>
    <i>
      <x v="6"/>
    </i>
    <i>
      <x v="7"/>
    </i>
    <i>
      <x v="8"/>
    </i>
    <i>
      <x v="9"/>
    </i>
    <i>
      <x v="10"/>
    </i>
    <i>
      <x v="11"/>
    </i>
    <i>
      <x v="12"/>
    </i>
    <i t="grand">
      <x/>
    </i>
  </rowItems>
  <colFields count="1">
    <field x="-2"/>
  </colFields>
  <colItems count="2">
    <i>
      <x/>
    </i>
    <i i="1">
      <x v="1"/>
    </i>
  </colItems>
  <pageFields count="1">
    <pageField fld="11" item="1" hier="-1"/>
  </pageFields>
  <dataFields count="2">
    <dataField name="  Total Sale" fld="7" baseField="0" baseItem="0" numFmtId="168"/>
    <dataField name="% diff PM" fld="7" showDataAs="percentDiff" baseField="9" baseItem="1048828" numFmtId="10"/>
  </dataFields>
  <formats count="2">
    <format dxfId="13">
      <pivotArea outline="0" collapsedLevelsAreSubtotals="1" fieldPosition="0"/>
    </format>
    <format dxfId="10">
      <pivotArea outline="0" fieldPosition="0">
        <references count="1">
          <reference field="4294967294" count="1">
            <x v="1"/>
          </reference>
        </references>
      </pivotArea>
    </format>
  </formats>
  <chartFormats count="3">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D929E1-B9E9-4567-905C-4EF1824AB313}" name="pvt_DateRank" cacheId="1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A3:D16" firstHeaderRow="0" firstDataRow="1" firstDataCol="1" rowPageCount="1" colPageCount="1"/>
  <pivotFields count="13">
    <pivotField compact="0" numFmtId="14" outline="0" subtotalTop="0" showAll="0" defaultSubtotal="0">
      <items count="105">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name="Month" axis="axisRow"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name="Year" axis="axisPage" compact="0" outline="0" subtotalTop="0" showAll="0" defaultSubtotal="0">
      <items count="4">
        <item x="0"/>
        <item x="1"/>
        <item x="2"/>
        <item x="3"/>
      </items>
    </pivotField>
    <pivotField compact="0" outline="0" subtotalTop="0" dragToRow="0" dragToCol="0" dragToPage="0" showAll="0" defaultSubtotal="0"/>
  </pivotFields>
  <rowFields count="1">
    <field x="9"/>
  </rowFields>
  <rowItems count="13">
    <i>
      <x v="1"/>
    </i>
    <i>
      <x v="2"/>
    </i>
    <i>
      <x v="3"/>
    </i>
    <i>
      <x v="4"/>
    </i>
    <i>
      <x v="5"/>
    </i>
    <i>
      <x v="6"/>
    </i>
    <i>
      <x v="7"/>
    </i>
    <i>
      <x v="8"/>
    </i>
    <i>
      <x v="9"/>
    </i>
    <i>
      <x v="10"/>
    </i>
    <i>
      <x v="11"/>
    </i>
    <i>
      <x v="12"/>
    </i>
    <i t="grand">
      <x/>
    </i>
  </rowItems>
  <colFields count="1">
    <field x="-2"/>
  </colFields>
  <colItems count="3">
    <i>
      <x/>
    </i>
    <i i="1">
      <x v="1"/>
    </i>
    <i i="2">
      <x v="2"/>
    </i>
  </colItems>
  <pageFields count="1">
    <pageField fld="11" item="1" hier="-1"/>
  </pageFields>
  <dataFields count="3">
    <dataField name="  Total Sale" fld="7" baseField="0" baseItem="0" numFmtId="168"/>
    <dataField name="vs PM" fld="7" showDataAs="difference" baseField="9" baseItem="1048828"/>
    <dataField name="vs January" fld="7" showDataAs="percentDiff" baseField="9" baseItem="1" numFmtId="10"/>
  </dataFields>
  <formats count="5">
    <format dxfId="16">
      <pivotArea outline="0" collapsedLevelsAreSubtotals="1" fieldPosition="0"/>
    </format>
    <format dxfId="17">
      <pivotArea outline="0" fieldPosition="0">
        <references count="2">
          <reference field="4294967294" count="1" selected="0">
            <x v="2"/>
          </reference>
          <reference field="11" count="1" selected="0" defaultSubtotal="1">
            <x v="1"/>
          </reference>
        </references>
      </pivotArea>
    </format>
    <format dxfId="18">
      <pivotArea outline="0" fieldPosition="0">
        <references count="1">
          <reference field="4294967294" count="1">
            <x v="1"/>
          </reference>
        </references>
      </pivotArea>
    </format>
    <format dxfId="19">
      <pivotArea outline="0" fieldPosition="0">
        <references count="1">
          <reference field="4294967294" count="1">
            <x v="2"/>
          </reference>
        </references>
      </pivotArea>
    </format>
    <format dxfId="20">
      <pivotArea outline="0" fieldPosition="0">
        <references count="2">
          <reference field="4294967294" count="1" selected="0">
            <x v="2"/>
          </reference>
          <reference field="9" count="12" selected="0">
            <x v="1"/>
            <x v="2"/>
            <x v="3"/>
            <x v="4"/>
            <x v="5"/>
            <x v="6"/>
            <x v="7"/>
            <x v="8"/>
            <x v="9"/>
            <x v="10"/>
            <x v="11"/>
            <x v="12"/>
          </reference>
        </references>
      </pivotArea>
    </format>
  </formats>
  <conditionalFormats count="2">
    <conditionalFormat priority="6">
      <pivotAreas count="1">
        <pivotArea type="data" outline="0" collapsedLevelsAreSubtotals="1" fieldPosition="0">
          <references count="2">
            <reference field="4294967294" count="1" selected="0">
              <x v="1"/>
            </reference>
            <reference field="9" count="12" selected="0">
              <x v="1"/>
              <x v="2"/>
              <x v="3"/>
              <x v="4"/>
              <x v="5"/>
              <x v="6"/>
              <x v="7"/>
              <x v="8"/>
              <x v="9"/>
              <x v="10"/>
              <x v="11"/>
              <x v="12"/>
            </reference>
          </references>
        </pivotArea>
      </pivotAreas>
    </conditionalFormat>
    <conditionalFormat priority="5">
      <pivotAreas count="1">
        <pivotArea type="data" outline="0" collapsedLevelsAreSubtotals="1" fieldPosition="0">
          <references count="2">
            <reference field="4294967294" count="1" selected="0">
              <x v="2"/>
            </reference>
            <reference field="9" count="12" selected="0">
              <x v="1"/>
              <x v="2"/>
              <x v="3"/>
              <x v="4"/>
              <x v="5"/>
              <x v="6"/>
              <x v="7"/>
              <x v="8"/>
              <x v="9"/>
              <x v="10"/>
              <x v="11"/>
              <x v="12"/>
            </reference>
          </references>
        </pivotArea>
      </pivotAreas>
    </conditionalFormat>
  </conditionalFormats>
  <chartFormats count="1">
    <chartFormat chart="5"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5CAF1A-7601-4FD2-9B20-BE8F9A651283}" name="pvt_MonthlyChange" cacheId="1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A3:D16" firstHeaderRow="0" firstDataRow="1" firstDataCol="1" rowPageCount="1" colPageCount="1"/>
  <pivotFields count="13">
    <pivotField compact="0" numFmtId="14" outline="0" subtotalTop="0" showAll="0" defaultSubtotal="0">
      <items count="105">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name="Month" axis="axisRow"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name="Year" axis="axisPage" compact="0" outline="0" subtotalTop="0" showAll="0" defaultSubtotal="0">
      <items count="4">
        <item x="0"/>
        <item x="1"/>
        <item x="2"/>
        <item x="3"/>
      </items>
    </pivotField>
    <pivotField compact="0" outline="0" subtotalTop="0" dragToRow="0" dragToCol="0" dragToPage="0" showAll="0" defaultSubtotal="0"/>
  </pivotFields>
  <rowFields count="1">
    <field x="9"/>
  </rowFields>
  <rowItems count="13">
    <i>
      <x v="1"/>
    </i>
    <i>
      <x v="2"/>
    </i>
    <i>
      <x v="3"/>
    </i>
    <i>
      <x v="4"/>
    </i>
    <i>
      <x v="5"/>
    </i>
    <i>
      <x v="6"/>
    </i>
    <i>
      <x v="7"/>
    </i>
    <i>
      <x v="8"/>
    </i>
    <i>
      <x v="9"/>
    </i>
    <i>
      <x v="10"/>
    </i>
    <i>
      <x v="11"/>
    </i>
    <i>
      <x v="12"/>
    </i>
    <i t="grand">
      <x/>
    </i>
  </rowItems>
  <colFields count="1">
    <field x="-2"/>
  </colFields>
  <colItems count="3">
    <i>
      <x/>
    </i>
    <i i="1">
      <x v="1"/>
    </i>
    <i i="2">
      <x v="2"/>
    </i>
  </colItems>
  <pageFields count="1">
    <pageField fld="11" item="1" hier="-1"/>
  </pageFields>
  <dataFields count="3">
    <dataField name="  Total Sale" fld="7" baseField="0" baseItem="0" numFmtId="168"/>
    <dataField name="vs PM" fld="7" showDataAs="difference" baseField="9" baseItem="1048828"/>
    <dataField name="vs January" fld="7" showDataAs="percentDiff" baseField="9" baseItem="1" numFmtId="10"/>
  </dataFields>
  <formats count="5">
    <format dxfId="28">
      <pivotArea outline="0" collapsedLevelsAreSubtotals="1" fieldPosition="0"/>
    </format>
    <format dxfId="29">
      <pivotArea outline="0" fieldPosition="0">
        <references count="2">
          <reference field="4294967294" count="1" selected="0">
            <x v="2"/>
          </reference>
          <reference field="11" count="1" selected="0" defaultSubtotal="1">
            <x v="1"/>
          </reference>
        </references>
      </pivotArea>
    </format>
    <format dxfId="27">
      <pivotArea outline="0" fieldPosition="0">
        <references count="1">
          <reference field="4294967294" count="1">
            <x v="1"/>
          </reference>
        </references>
      </pivotArea>
    </format>
    <format dxfId="26">
      <pivotArea outline="0" fieldPosition="0">
        <references count="1">
          <reference field="4294967294" count="1">
            <x v="2"/>
          </reference>
        </references>
      </pivotArea>
    </format>
    <format dxfId="25">
      <pivotArea outline="0" fieldPosition="0">
        <references count="2">
          <reference field="4294967294" count="1" selected="0">
            <x v="2"/>
          </reference>
          <reference field="9" count="12" selected="0">
            <x v="1"/>
            <x v="2"/>
            <x v="3"/>
            <x v="4"/>
            <x v="5"/>
            <x v="6"/>
            <x v="7"/>
            <x v="8"/>
            <x v="9"/>
            <x v="10"/>
            <x v="11"/>
            <x v="12"/>
          </reference>
        </references>
      </pivotArea>
    </format>
  </formats>
  <conditionalFormats count="2">
    <conditionalFormat priority="2">
      <pivotAreas count="1">
        <pivotArea type="data" outline="0" collapsedLevelsAreSubtotals="1" fieldPosition="0">
          <references count="2">
            <reference field="4294967294" count="1" selected="0">
              <x v="1"/>
            </reference>
            <reference field="9" count="12" selected="0">
              <x v="1"/>
              <x v="2"/>
              <x v="3"/>
              <x v="4"/>
              <x v="5"/>
              <x v="6"/>
              <x v="7"/>
              <x v="8"/>
              <x v="9"/>
              <x v="10"/>
              <x v="11"/>
              <x v="12"/>
            </reference>
          </references>
        </pivotArea>
      </pivotAreas>
    </conditionalFormat>
    <conditionalFormat priority="1">
      <pivotAreas count="1">
        <pivotArea type="data" outline="0" collapsedLevelsAreSubtotals="1" fieldPosition="0">
          <references count="2">
            <reference field="4294967294" count="1" selected="0">
              <x v="2"/>
            </reference>
            <reference field="9" count="12" selected="0">
              <x v="1"/>
              <x v="2"/>
              <x v="3"/>
              <x v="4"/>
              <x v="5"/>
              <x v="6"/>
              <x v="7"/>
              <x v="8"/>
              <x v="9"/>
              <x v="10"/>
              <x v="11"/>
              <x v="12"/>
            </reference>
          </references>
        </pivotArea>
      </pivotAreas>
    </conditionalFormat>
  </conditionalFormats>
  <chartFormats count="1">
    <chartFormat chart="5"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3A6191-DBCD-48DD-85C2-F2D6FE072C22}" name="pvt_DateRank" cacheId="1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A1:E26" firstHeaderRow="0" firstDataRow="1" firstDataCol="2"/>
  <pivotFields count="13">
    <pivotField compact="0" numFmtId="14" outline="0" subtotalTop="0" showAll="0" defaultSubtotal="0">
      <items count="105">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name="Month" axis="axisRow"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name="Year" axis="axisRow" compact="0" outline="0" subtotalTop="0" showAll="0" defaultSubtotal="0">
      <items count="4">
        <item x="0"/>
        <item x="1"/>
        <item x="2"/>
        <item x="3"/>
      </items>
    </pivotField>
    <pivotField compact="0" outline="0" subtotalTop="0" dragToRow="0" dragToCol="0" dragToPage="0" showAll="0" defaultSubtotal="0"/>
  </pivotFields>
  <rowFields count="2">
    <field x="11"/>
    <field x="9"/>
  </rowFields>
  <rowItems count="2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t="grand">
      <x/>
    </i>
  </rowItems>
  <colFields count="1">
    <field x="-2"/>
  </colFields>
  <colItems count="3">
    <i>
      <x/>
    </i>
    <i i="1">
      <x v="1"/>
    </i>
    <i i="2">
      <x v="2"/>
    </i>
  </colItems>
  <dataFields count="3">
    <dataField name="  Total Sale" fld="7" baseField="0" baseItem="0" numFmtId="168"/>
    <dataField name="% of total" fld="7" showDataAs="percentOfTotal" baseField="9" baseItem="1" numFmtId="10"/>
    <dataField name="Ranking" fld="7" baseField="9" baseItem="1">
      <extLst>
        <ext xmlns:x14="http://schemas.microsoft.com/office/spreadsheetml/2009/9/main" uri="{E15A36E0-9728-4e99-A89B-3F7291B0FE68}">
          <x14:dataField pivotShowAs="rankDescending"/>
        </ext>
      </extLst>
    </dataField>
  </dataFields>
  <formats count="4">
    <format dxfId="33">
      <pivotArea outline="0" collapsedLevelsAreSubtotals="1" fieldPosition="0"/>
    </format>
    <format dxfId="32">
      <pivotArea outline="0" fieldPosition="0">
        <references count="1">
          <reference field="4294967294" count="1">
            <x v="1"/>
          </reference>
        </references>
      </pivotArea>
    </format>
    <format dxfId="31">
      <pivotArea outline="0" fieldPosition="0">
        <references count="2">
          <reference field="4294967294" count="1" selected="0">
            <x v="2"/>
          </reference>
          <reference field="11" count="1" selected="0" defaultSubtotal="1">
            <x v="1"/>
          </reference>
        </references>
      </pivotArea>
    </format>
    <format dxfId="30">
      <pivotArea outline="0" fieldPosition="0">
        <references count="3">
          <reference field="4294967294" count="1" selected="0">
            <x v="2"/>
          </reference>
          <reference field="9" count="9" selected="0">
            <x v="1"/>
            <x v="2"/>
            <x v="3"/>
            <x v="4"/>
            <x v="5"/>
            <x v="6"/>
            <x v="7"/>
            <x v="8"/>
            <x v="9"/>
          </reference>
          <reference field="11" count="1" selected="0">
            <x v="2"/>
          </reference>
        </references>
      </pivotArea>
    </format>
  </formats>
  <chartFormats count="1">
    <chartFormat chart="5"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E7D1AC-80D3-4470-B035-977E998D3A36}" name="pvt_Multi2" cacheId="118"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H1:J28" firstHeaderRow="1" firstDataRow="1" firstDataCol="2"/>
  <pivotFields count="13">
    <pivotField compact="0" numFmtId="14" outline="0" subtotalTop="0"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compact="0" outline="0" subtotalTop="0" showAll="0"/>
    <pivotField name="Month" axis="axisRow"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name="Year" axis="axisRow" compact="0" outline="0" subtotalTop="0" showAll="0">
      <items count="5">
        <item x="0"/>
        <item x="1"/>
        <item x="2"/>
        <item x="3"/>
        <item t="default"/>
      </items>
    </pivotField>
    <pivotField compact="0" outline="0" subtotalTop="0" dragToRow="0" dragToCol="0" dragToPage="0" showAll="0"/>
  </pivotFields>
  <rowFields count="2">
    <field x="11"/>
    <field x="9"/>
  </rowFields>
  <rowItems count="27">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t="grand">
      <x/>
    </i>
  </rowItems>
  <colItems count="1">
    <i/>
  </colItems>
  <dataFields count="1">
    <dataField name="  Total Sale" fld="7" baseField="0" baseItem="0" numFmtId="168"/>
  </dataFields>
  <formats count="1">
    <format dxfId="34">
      <pivotArea outline="0" collapsedLevelsAreSubtotals="1"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8CD953-12BC-4CAE-878C-EB3C1F0D3723}" name="pvt_SalesMulti" cacheId="11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F28" firstHeaderRow="0" firstDataRow="1" firstDataCol="2"/>
  <pivotFields count="13">
    <pivotField compact="0" numFmtId="14" outline="0" subtotalTop="0"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compact="0" outline="0" subtotalTop="0" showAll="0"/>
    <pivotField compact="0" outline="0" subtotalTop="0" showAll="0"/>
    <pivotField compact="0" outline="0" subtotalTop="0" showAll="0"/>
    <pivotField compact="0" outline="0" subtotalTop="0" showAll="0"/>
    <pivotField compact="0" outline="0" subtotalTop="0" showAll="0"/>
    <pivotField compact="0" outline="0" subtotalTop="0" showAll="0"/>
    <pivotField dataField="1" compact="0" outline="0" subtotalTop="0" showAll="0"/>
    <pivotField compact="0" outline="0" subtotalTop="0" showAll="0"/>
    <pivotField name="Month" axis="axisRow"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name="Year" axis="axisRow" compact="0" outline="0" subtotalTop="0" showAll="0">
      <items count="5">
        <item x="0"/>
        <item x="1"/>
        <item x="2"/>
        <item x="3"/>
        <item t="default"/>
      </items>
    </pivotField>
    <pivotField compact="0" outline="0" subtotalTop="0" dragToRow="0" dragToCol="0" dragToPage="0" showAll="0"/>
  </pivotFields>
  <rowFields count="2">
    <field x="11"/>
    <field x="9"/>
  </rowFields>
  <rowItems count="27">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t="grand">
      <x/>
    </i>
  </rowItems>
  <colFields count="1">
    <field x="-2"/>
  </colFields>
  <colItems count="4">
    <i>
      <x/>
    </i>
    <i i="1">
      <x v="1"/>
    </i>
    <i i="2">
      <x v="2"/>
    </i>
    <i i="3">
      <x v="3"/>
    </i>
  </colItems>
  <dataFields count="4">
    <dataField name="  Total Sale" fld="7" baseField="0" baseItem="0" numFmtId="168"/>
    <dataField name="  " fld="7" baseField="0" baseItem="0"/>
    <dataField name="% of CY" fld="7" baseField="9" baseItem="1" numFmtId="10">
      <extLst>
        <ext xmlns:x14="http://schemas.microsoft.com/office/spreadsheetml/2009/9/main" uri="{E15A36E0-9728-4e99-A89B-3F7291B0FE68}">
          <x14:dataField pivotShowAs="percentOfParentRow"/>
        </ext>
      </extLst>
    </dataField>
    <dataField name="% of global" fld="7" showDataAs="percentOfTotal" baseField="9" baseItem="1" numFmtId="10"/>
  </dataFields>
  <formats count="3">
    <format dxfId="37">
      <pivotArea outline="0" collapsedLevelsAreSubtotals="1" fieldPosition="0"/>
    </format>
    <format dxfId="36">
      <pivotArea outline="0" fieldPosition="0">
        <references count="1">
          <reference field="4294967294" count="1">
            <x v="2"/>
          </reference>
        </references>
      </pivotArea>
    </format>
    <format dxfId="35">
      <pivotArea outline="0" fieldPosition="0">
        <references count="1">
          <reference field="4294967294" count="1">
            <x v="3"/>
          </reference>
        </references>
      </pivotArea>
    </format>
  </formats>
  <conditionalFormats count="1">
    <conditionalFormat priority="2">
      <pivotAreas count="1">
        <pivotArea type="data" outline="0" collapsedLevelsAreSubtotals="1" fieldPosition="0">
          <references count="3">
            <reference field="4294967294" count="1" selected="0">
              <x v="1"/>
            </reference>
            <reference field="9" count="12" selected="0">
              <x v="1"/>
              <x v="2"/>
              <x v="3"/>
              <x v="4"/>
              <x v="5"/>
              <x v="6"/>
              <x v="7"/>
              <x v="8"/>
              <x v="9"/>
              <x v="10"/>
              <x v="11"/>
              <x v="12"/>
            </reference>
            <reference field="11" count="2" selected="0">
              <x v="1"/>
              <x v="2"/>
            </reference>
          </references>
        </pivotArea>
      </pivotAreas>
    </conditionalFormat>
  </conditional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62A93B-63CF-42B1-ABEA-6EDC9F0E722C}" name="PivotTable15"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L19" firstHeaderRow="1" firstDataRow="3" firstDataCol="1"/>
  <pivotFields count="13">
    <pivotField numFmtId="14"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axis="axisRow" showAll="0">
      <items count="17">
        <item x="12"/>
        <item x="13"/>
        <item x="11"/>
        <item x="3"/>
        <item x="6"/>
        <item x="2"/>
        <item x="0"/>
        <item m="1" x="15"/>
        <item x="10"/>
        <item x="8"/>
        <item x="5"/>
        <item x="9"/>
        <item x="1"/>
        <item x="14"/>
        <item x="7"/>
        <item x="4"/>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axis="axisCol" showAll="0">
      <items count="7">
        <item x="0"/>
        <item x="1"/>
        <item x="2"/>
        <item x="3"/>
        <item x="4"/>
        <item x="5"/>
        <item t="default"/>
      </items>
    </pivotField>
    <pivotField axis="axisCol" showAll="0">
      <items count="5">
        <item x="0"/>
        <item x="1"/>
        <item x="2"/>
        <item x="3"/>
        <item t="default"/>
      </items>
    </pivotField>
    <pivotField dragToRow="0" dragToCol="0" dragToPage="0" showAll="0" defaultSubtotal="0"/>
  </pivotFields>
  <rowFields count="1">
    <field x="1"/>
  </rowFields>
  <rowItems count="16">
    <i>
      <x/>
    </i>
    <i>
      <x v="1"/>
    </i>
    <i>
      <x v="2"/>
    </i>
    <i>
      <x v="3"/>
    </i>
    <i>
      <x v="4"/>
    </i>
    <i>
      <x v="5"/>
    </i>
    <i>
      <x v="6"/>
    </i>
    <i>
      <x v="8"/>
    </i>
    <i>
      <x v="9"/>
    </i>
    <i>
      <x v="10"/>
    </i>
    <i>
      <x v="11"/>
    </i>
    <i>
      <x v="12"/>
    </i>
    <i>
      <x v="13"/>
    </i>
    <i>
      <x v="14"/>
    </i>
    <i>
      <x v="15"/>
    </i>
    <i t="grand">
      <x/>
    </i>
  </rowItems>
  <colFields count="2">
    <field x="11"/>
    <field x="10"/>
  </colFields>
  <colItems count="11">
    <i>
      <x v="1"/>
      <x v="1"/>
    </i>
    <i r="1">
      <x v="2"/>
    </i>
    <i r="1">
      <x v="3"/>
    </i>
    <i r="1">
      <x v="4"/>
    </i>
    <i t="default">
      <x v="1"/>
    </i>
    <i>
      <x v="2"/>
      <x v="1"/>
    </i>
    <i r="1">
      <x v="2"/>
    </i>
    <i r="1">
      <x v="3"/>
    </i>
    <i r="1">
      <x v="4"/>
    </i>
    <i t="default">
      <x v="2"/>
    </i>
    <i t="grand">
      <x/>
    </i>
  </colItems>
  <dataFields count="1">
    <dataField name="Sum of Total Sale" fld="7" baseField="0" baseItem="0" numFmtId="168"/>
  </dataFields>
  <formats count="1">
    <format dxfId="38">
      <pivotArea outline="0" collapsedLevelsAreSubtotals="1" fieldPosition="0"/>
    </format>
  </formats>
  <chartFormats count="8">
    <chartFormat chart="3" format="0" series="1">
      <pivotArea type="data" outline="0" fieldPosition="0">
        <references count="3">
          <reference field="4294967294" count="1" selected="0">
            <x v="0"/>
          </reference>
          <reference field="10" count="1" selected="0">
            <x v="1"/>
          </reference>
          <reference field="11" count="1" selected="0">
            <x v="1"/>
          </reference>
        </references>
      </pivotArea>
    </chartFormat>
    <chartFormat chart="3" format="1" series="1">
      <pivotArea type="data" outline="0" fieldPosition="0">
        <references count="3">
          <reference field="4294967294" count="1" selected="0">
            <x v="0"/>
          </reference>
          <reference field="10" count="1" selected="0">
            <x v="2"/>
          </reference>
          <reference field="11" count="1" selected="0">
            <x v="1"/>
          </reference>
        </references>
      </pivotArea>
    </chartFormat>
    <chartFormat chart="3" format="2" series="1">
      <pivotArea type="data" outline="0" fieldPosition="0">
        <references count="3">
          <reference field="4294967294" count="1" selected="0">
            <x v="0"/>
          </reference>
          <reference field="10" count="1" selected="0">
            <x v="3"/>
          </reference>
          <reference field="11" count="1" selected="0">
            <x v="1"/>
          </reference>
        </references>
      </pivotArea>
    </chartFormat>
    <chartFormat chart="3" format="3" series="1">
      <pivotArea type="data" outline="0" fieldPosition="0">
        <references count="3">
          <reference field="4294967294" count="1" selected="0">
            <x v="0"/>
          </reference>
          <reference field="10" count="1" selected="0">
            <x v="4"/>
          </reference>
          <reference field="11" count="1" selected="0">
            <x v="1"/>
          </reference>
        </references>
      </pivotArea>
    </chartFormat>
    <chartFormat chart="3" format="4" series="1">
      <pivotArea type="data" outline="0" fieldPosition="0">
        <references count="3">
          <reference field="4294967294" count="1" selected="0">
            <x v="0"/>
          </reference>
          <reference field="10" count="1" selected="0">
            <x v="1"/>
          </reference>
          <reference field="11" count="1" selected="0">
            <x v="2"/>
          </reference>
        </references>
      </pivotArea>
    </chartFormat>
    <chartFormat chart="3" format="5" series="1">
      <pivotArea type="data" outline="0" fieldPosition="0">
        <references count="3">
          <reference field="4294967294" count="1" selected="0">
            <x v="0"/>
          </reference>
          <reference field="10" count="1" selected="0">
            <x v="2"/>
          </reference>
          <reference field="11" count="1" selected="0">
            <x v="2"/>
          </reference>
        </references>
      </pivotArea>
    </chartFormat>
    <chartFormat chart="3" format="6" series="1">
      <pivotArea type="data" outline="0" fieldPosition="0">
        <references count="3">
          <reference field="4294967294" count="1" selected="0">
            <x v="0"/>
          </reference>
          <reference field="10" count="1" selected="0">
            <x v="3"/>
          </reference>
          <reference field="11" count="1" selected="0">
            <x v="2"/>
          </reference>
        </references>
      </pivotArea>
    </chartFormat>
    <chartFormat chart="3" format="7" series="1">
      <pivotArea type="data" outline="0" fieldPosition="0">
        <references count="3">
          <reference field="4294967294" count="1" selected="0">
            <x v="0"/>
          </reference>
          <reference field="10" count="1" selected="0">
            <x v="4"/>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5CAE32-8971-496C-8429-5995558B2061}" name="pvt_DeliveryChanneé"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F8" firstHeaderRow="1" firstDataRow="2" firstDataCol="1"/>
  <pivotFields count="13">
    <pivotField numFmtId="14"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showAll="0"/>
    <pivotField axis="axisCol" showAll="0">
      <items count="5">
        <item x="1"/>
        <item x="2"/>
        <item x="0"/>
        <item x="3"/>
        <item t="default"/>
      </items>
    </pivotField>
    <pivotField axis="axisRow" showAll="0">
      <items count="6">
        <item x="0"/>
        <item x="4"/>
        <item x="2"/>
        <item x="1"/>
        <item x="3"/>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3"/>
  </rowFields>
  <rowItems count="6">
    <i>
      <x/>
    </i>
    <i>
      <x v="1"/>
    </i>
    <i>
      <x v="2"/>
    </i>
    <i>
      <x v="3"/>
    </i>
    <i>
      <x v="4"/>
    </i>
    <i t="grand">
      <x/>
    </i>
  </rowItems>
  <colFields count="1">
    <field x="2"/>
  </colFields>
  <colItems count="5">
    <i>
      <x/>
    </i>
    <i>
      <x v="1"/>
    </i>
    <i>
      <x v="2"/>
    </i>
    <i>
      <x v="3"/>
    </i>
    <i t="grand">
      <x/>
    </i>
  </colItems>
  <dataFields count="1">
    <dataField name="Sum of Total Sale" fld="7" baseField="0" baseItem="0" numFmtId="168"/>
  </dataFields>
  <formats count="1">
    <format dxfId="39">
      <pivotArea outline="0" collapsedLevelsAreSubtotals="1"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E59B182-0921-44BE-8356-578A982B1F81}" name="PivotTable10"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6" firstHeaderRow="0" firstDataRow="1" firstDataCol="1"/>
  <pivotFields count="13">
    <pivotField numFmtId="14"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showAll="0"/>
    <pivotField axis="axisRow" showAll="0">
      <items count="5">
        <item x="1"/>
        <item x="2"/>
        <item x="0"/>
        <item x="3"/>
        <item t="default"/>
      </items>
    </pivotField>
    <pivotField showAll="0"/>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ataField="1" dragToRow="0" dragToCol="0" dragToPage="0" showAll="0" defaultSubtotal="0"/>
  </pivotFields>
  <rowFields count="1">
    <field x="2"/>
  </rowFields>
  <rowItems count="5">
    <i>
      <x/>
    </i>
    <i>
      <x v="1"/>
    </i>
    <i>
      <x v="2"/>
    </i>
    <i>
      <x v="3"/>
    </i>
    <i t="grand">
      <x/>
    </i>
  </rowItems>
  <colFields count="1">
    <field x="-2"/>
  </colFields>
  <colItems count="3">
    <i>
      <x/>
    </i>
    <i i="1">
      <x v="1"/>
    </i>
    <i i="2">
      <x v="2"/>
    </i>
  </colItems>
  <dataFields count="3">
    <dataField name="Sum of Total Sale" fld="7" baseField="0" baseItem="0" numFmtId="168"/>
    <dataField name="Total with Tax" fld="12" baseField="0" baseItem="0" numFmtId="168"/>
    <dataField name="Total Margin" fld="8" baseField="0" baseItem="0"/>
  </dataFields>
  <formats count="1">
    <format dxfId="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8DF05C-7769-4986-B4AC-74B08EE17520}" name="pvt_DeliveryYear"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E27" firstHeaderRow="0" firstDataRow="1" firstDataCol="1"/>
  <pivotFields count="13">
    <pivotField dataField="1" numFmtId="14"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showAll="0"/>
    <pivotField showAll="0"/>
    <pivotField axis="axisRow" showAll="0">
      <items count="6">
        <item x="0"/>
        <item x="4"/>
        <item x="2"/>
        <item x="1"/>
        <item x="3"/>
        <item t="default"/>
      </items>
    </pivotField>
    <pivotField dataField="1"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3"/>
  </rowFields>
  <rowItems count="6">
    <i>
      <x/>
    </i>
    <i>
      <x v="1"/>
    </i>
    <i>
      <x v="2"/>
    </i>
    <i>
      <x v="3"/>
    </i>
    <i>
      <x v="4"/>
    </i>
    <i t="grand">
      <x/>
    </i>
  </rowItems>
  <colFields count="1">
    <field x="-2"/>
  </colFields>
  <colItems count="4">
    <i>
      <x/>
    </i>
    <i i="1">
      <x v="1"/>
    </i>
    <i i="2">
      <x v="2"/>
    </i>
    <i i="3">
      <x v="3"/>
    </i>
  </colItems>
  <dataFields count="4">
    <dataField name="Units sold" fld="4" baseField="0" baseItem="0"/>
    <dataField name="Total Sales" fld="7" baseField="0" baseItem="0" numFmtId="168"/>
    <dataField name="Total Margin" fld="8" baseField="0" baseItem="0" numFmtId="168"/>
    <dataField name="Count of Date" fld="0" subtotal="count" baseField="0" baseItem="0"/>
  </dataFields>
  <formats count="1">
    <format dxfId="50">
      <pivotArea outline="0" collapsedLevelsAreSubtotals="1"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E3AD08-7C39-4847-A940-8430D432DAB0}" name="pvt_MarginYear"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ows" colHeaderCaption="Cols">
  <location ref="A12:D18" firstHeaderRow="1" firstDataRow="2" firstDataCol="1"/>
  <pivotFields count="13">
    <pivotField numFmtId="14"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showAll="0"/>
    <pivotField axis="axisRow" showAll="0">
      <items count="5">
        <item x="1"/>
        <item x="2"/>
        <item x="0"/>
        <item x="3"/>
        <item t="default"/>
      </items>
    </pivotField>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axis="axisCol" showAll="0">
      <items count="5">
        <item sd="0" x="0"/>
        <item sd="0" x="1"/>
        <item sd="0" x="2"/>
        <item x="3"/>
        <item t="default"/>
      </items>
    </pivotField>
    <pivotField dragToRow="0" dragToCol="0" dragToPage="0" showAll="0" defaultSubtotal="0"/>
  </pivotFields>
  <rowFields count="1">
    <field x="2"/>
  </rowFields>
  <rowItems count="5">
    <i>
      <x/>
    </i>
    <i>
      <x v="1"/>
    </i>
    <i>
      <x v="2"/>
    </i>
    <i>
      <x v="3"/>
    </i>
    <i t="grand">
      <x/>
    </i>
  </rowItems>
  <colFields count="1">
    <field x="11"/>
  </colFields>
  <colItems count="3">
    <i>
      <x v="1"/>
    </i>
    <i>
      <x v="2"/>
    </i>
    <i t="grand">
      <x/>
    </i>
  </colItems>
  <dataFields count="1">
    <dataField name="AVG Sale" fld="7" subtotal="average" baseField="2" baseItem="0"/>
  </dataFields>
  <formats count="1">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F498C03-BE94-480C-98A6-0306C9A9F22E}" name="pvt_MarginChannel"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3">
    <pivotField numFmtId="14" showAll="0">
      <items count="106">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87"/>
        <item x="88"/>
        <item x="89"/>
        <item x="90"/>
        <item x="91"/>
        <item x="92"/>
        <item x="93"/>
        <item x="94"/>
        <item x="95"/>
        <item x="96"/>
        <item x="97"/>
        <item x="98"/>
        <item x="99"/>
        <item x="100"/>
        <item x="101"/>
        <item x="102"/>
        <item x="103"/>
        <item x="104"/>
        <item t="default"/>
      </items>
    </pivotField>
    <pivotField showAll="0"/>
    <pivotField axis="axisRow" showAll="0">
      <items count="5">
        <item x="1"/>
        <item x="2"/>
        <item x="0"/>
        <item x="3"/>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Q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89F9F07-2F06-43D8-8C7F-D188058D34F9}" name="PivotTable13" cacheId="1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L9" firstHeaderRow="1" firstDataRow="1" firstDataCol="1"/>
  <pivotFields count="9">
    <pivotField numFmtId="14" showAll="0" insertBlankRow="1"/>
    <pivotField showAll="0" insertBlankRow="1"/>
    <pivotField axis="axisRow" showAll="0" insertBlankRow="1">
      <items count="7">
        <item x="1"/>
        <item x="2"/>
        <item x="0"/>
        <item x="3"/>
        <item f="1" x="4"/>
        <item f="1" x="5"/>
        <item t="default"/>
      </items>
    </pivotField>
    <pivotField showAll="0" insertBlankRow="1"/>
    <pivotField showAll="0" insertBlankRow="1"/>
    <pivotField showAll="0" insertBlankRow="1"/>
    <pivotField showAll="0" insertBlankRow="1"/>
    <pivotField dataField="1" showAll="0" insertBlankRow="1"/>
    <pivotField showAll="0" insertBlankRow="1"/>
  </pivotFields>
  <rowFields count="1">
    <field x="2"/>
  </rowFields>
  <rowItems count="7">
    <i>
      <x/>
    </i>
    <i>
      <x v="1"/>
    </i>
    <i>
      <x v="2"/>
    </i>
    <i>
      <x v="3"/>
    </i>
    <i>
      <x v="4"/>
    </i>
    <i>
      <x v="5"/>
    </i>
    <i t="grand">
      <x/>
    </i>
  </rowItems>
  <colItems count="1">
    <i/>
  </colItems>
  <dataFields count="1">
    <dataField name="Turnover" fld="7" baseField="2" baseItem="2" numFmtId="168"/>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 xr10:uid="{966EA17A-3B72-4886-9EE3-032D340AF481}" sourceName="Prod">
  <pivotTables>
    <pivotTable tabId="18" name="pvt_GroupedBySales"/>
  </pivotTables>
  <data>
    <tabular pivotCacheId="1051118835">
      <items count="16">
        <i x="12" s="1"/>
        <i x="13" s="1"/>
        <i x="11" s="1"/>
        <i x="3" s="1"/>
        <i x="6" s="1"/>
        <i x="2" s="1"/>
        <i x="0" s="1"/>
        <i x="10" s="1"/>
        <i x="8" s="1"/>
        <i x="5" s="1"/>
        <i x="9" s="1"/>
        <i x="1" s="1"/>
        <i x="14" s="1"/>
        <i x="7" s="1"/>
        <i x="4" s="1"/>
        <i x="1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BAB9A26B-EB40-4082-A8D4-DA0C3C810DA0}" sourceName="Channel">
  <pivotTables>
    <pivotTable tabId="18" name="pvt_GroupedBySales"/>
  </pivotTables>
  <data>
    <tabular pivotCacheId="1051118835">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 xr10:uid="{B51569A5-D6DD-46C1-BC59-6AE2AA623DB1}" sourceName="Delivery">
  <pivotTables>
    <pivotTable tabId="18" name="pvt_GroupedBySales"/>
  </pivotTables>
  <data>
    <tabular pivotCacheId="1051118835">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9B0AA64D-7593-4A19-9DBA-ECBF3B668234}" sourceName="Years (Date)">
  <pivotTables>
    <pivotTable tabId="18" name="pvt_GroupedBySales"/>
  </pivotTables>
  <data>
    <tabular pivotCacheId="1051118835">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 xr10:uid="{5028F6C6-7435-4530-B4E4-64396EDD3FF9}" cache="Slicer_Prod" caption="Prod" columnCount="2" rowHeight="257175"/>
  <slicer name="Channel" xr10:uid="{40A5AEC2-1E6F-462C-8E4D-BBCDA62A7EA7}" cache="Slicer_Channel" caption="Channel" columnCount="2" rowHeight="257175"/>
  <slicer name="Delivery" xr10:uid="{C006551B-476A-4194-AB51-7C178B380C2A}" cache="Slicer_Delivery" caption="Delivery" columnCount="2" rowHeight="257175"/>
  <slicer name="Year" xr10:uid="{059A0630-2218-42DD-86A3-B97C0D6BB6B9}" cache="Slicer_Years__Date" caption="Year"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78803C4-C3D4-48FE-9A78-67D04B2CC668}" name="Table4" displayName="Table4" ref="A3:I30" totalsRowShown="0">
  <autoFilter ref="A3:I30" xr:uid="{578803C4-C3D4-48FE-9A78-67D04B2CC668}"/>
  <tableColumns count="9">
    <tableColumn id="1" xr3:uid="{B5DADECB-8688-4254-8532-1DA05FEAAFEB}" name="Date" dataDxfId="0"/>
    <tableColumn id="2" xr3:uid="{BCAACE24-BAF3-4735-B67D-EF2AC20B3AA6}" name="Prod"/>
    <tableColumn id="3" xr3:uid="{4A9C7B41-53A7-49D8-9164-2EEE3BCE7B30}" name="Channel"/>
    <tableColumn id="4" xr3:uid="{192D98B5-4FFC-48C0-AD26-D811FEB24DFA}" name="Delivery"/>
    <tableColumn id="5" xr3:uid="{418EC3D5-D7C3-423E-A945-A980C4054E80}" name="Qty"/>
    <tableColumn id="6" xr3:uid="{51F2B548-40F5-48DB-9591-C8A452031FEC}" name="Unit cost"/>
    <tableColumn id="7" xr3:uid="{47D257BD-1E67-4ECC-8403-19EEE698EC1D}" name="Unit price"/>
    <tableColumn id="8" xr3:uid="{F0B08A58-ABBA-4780-A8C4-73F256FD9866}" name="Total Sale"/>
    <tableColumn id="9" xr3:uid="{1C46089C-6914-4E0C-A65A-DCD6ED2F8AFE}" name="Margi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4337A0-20D2-449D-8D99-A6AA9DA5EE09}" name="tbl_Sales" displayName="tbl_Sales" ref="A1:I221" totalsRowShown="0">
  <autoFilter ref="A1:I221" xr:uid="{2D4337A0-20D2-449D-8D99-A6AA9DA5EE09}"/>
  <sortState xmlns:xlrd2="http://schemas.microsoft.com/office/spreadsheetml/2017/richdata2" ref="A2:G164">
    <sortCondition descending="1" ref="A1:A164"/>
  </sortState>
  <tableColumns count="9">
    <tableColumn id="5" xr3:uid="{E56A297F-C7A3-4349-8950-A1F27D0B9EBE}" name="Date" dataDxfId="61"/>
    <tableColumn id="1" xr3:uid="{284A1C7B-4DF3-4C59-ABF5-9B8D4A35B5AB}" name="Prod" dataDxfId="60"/>
    <tableColumn id="8" xr3:uid="{84B303D5-10CA-4A87-9CDB-0603E8C109DE}" name="Channel" dataDxfId="59"/>
    <tableColumn id="9" xr3:uid="{C74424A0-5DBA-4181-8A85-31412446B5F8}" name="Delivery" dataDxfId="58"/>
    <tableColumn id="2" xr3:uid="{BE05E45B-F29C-4958-801C-2DD0645A023C}" name="Qty" dataDxfId="57"/>
    <tableColumn id="3" xr3:uid="{3B62C874-54F8-45CE-9E65-7E38FB63C3FD}" name="Unit cost" dataDxfId="56"/>
    <tableColumn id="4" xr3:uid="{0D3DFEFB-3428-4CE2-8564-E4D803DAAF5B}" name="Unit price" dataDxfId="55">
      <calculatedColumnFormula>INT(F2*1.4)</calculatedColumnFormula>
    </tableColumn>
    <tableColumn id="6" xr3:uid="{B8CC124F-3C32-491A-B1E0-E9A9F40482E9}" name="Total Sale" dataDxfId="54">
      <calculatedColumnFormula>tbl_Sales[[#This Row],[Qty]]*tbl_Sales[[#This Row],[Unit price]]</calculatedColumnFormula>
    </tableColumn>
    <tableColumn id="7" xr3:uid="{8258539A-5627-4894-956E-F13DD1AC5C4C}" name="Margin" dataDxfId="53">
      <calculatedColumnFormula>(tbl_Sales[[#This Row],[Unit price]]-tbl_Sales[[#This Row],[Unit cost]])*tbl_Sales[[#This Row],[Qty]]</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6E93A3-8D44-4AC8-AE4B-B352C07983CE}" name="tbl_Sales4" displayName="tbl_Sales4" ref="A1:I164" totalsRowShown="0">
  <autoFilter ref="A1:I164" xr:uid="{2D4337A0-20D2-449D-8D99-A6AA9DA5EE09}"/>
  <sortState xmlns:xlrd2="http://schemas.microsoft.com/office/spreadsheetml/2017/richdata2" ref="A2:G164">
    <sortCondition descending="1" ref="A1:A164"/>
  </sortState>
  <tableColumns count="9">
    <tableColumn id="5" xr3:uid="{068B1D32-4844-4044-93C4-0EF20A6715B6}" name="Date" dataDxfId="49"/>
    <tableColumn id="1" xr3:uid="{7E943CD5-5EC9-46EE-B995-316F8A850609}" name="Prod" dataDxfId="48"/>
    <tableColumn id="8" xr3:uid="{7E5F8034-AE20-4F4D-97A3-A49A00D7407C}" name="Channel" dataDxfId="47"/>
    <tableColumn id="9" xr3:uid="{534A5FDF-957C-45EA-BD6E-A5CF42AABB26}" name="Delivery" dataDxfId="46"/>
    <tableColumn id="2" xr3:uid="{E786E278-527A-4DE5-9D1E-8F365C09C98F}" name="Qty" dataDxfId="45"/>
    <tableColumn id="3" xr3:uid="{42FD5DE2-6841-4E40-9340-84B0064A10A4}" name="Unit cost" dataDxfId="44"/>
    <tableColumn id="4" xr3:uid="{1EC4E33C-D729-4B31-9A23-0C02427C6C7D}" name="Unit price" dataDxfId="43">
      <calculatedColumnFormula>INT(F2*1.4)</calculatedColumnFormula>
    </tableColumn>
    <tableColumn id="6" xr3:uid="{6A4F4999-8A25-4D83-8AEC-290390C9C523}" name="Total Sale" dataDxfId="42">
      <calculatedColumnFormula>tbl_Sales4[[#This Row],[Qty]]*tbl_Sales4[[#This Row],[Unit price]]</calculatedColumnFormula>
    </tableColumn>
    <tableColumn id="7" xr3:uid="{56D9BC10-1AD1-46AD-8A42-5AFC2BB8A0C3}" name="Margin" dataDxfId="41">
      <calculatedColumnFormula>(tbl_Sales4[[#This Row],[Unit price]]-tbl_Sales4[[#This Row],[Unit cost]])*tbl_Sales4[[#This Row],[Qty]]</calculatedColumnFormula>
    </tableColumn>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8A14DA2-63A5-462B-9628-D3361CFF9F96}" sourceName="Date">
  <pivotTables>
    <pivotTable tabId="12" name="pvt_Multi2"/>
    <pivotTable tabId="13" name="pvt_DateRank"/>
    <pivotTable tabId="14" name="pvt_MonthlyChange"/>
    <pivotTable tabId="15" name="pvt_DateRank"/>
    <pivotTable tabId="15" name="pvt_DiffPM"/>
    <pivotTable tabId="16" name="pvt_YoY"/>
    <pivotTable tabId="17" name="pvt_YTD"/>
    <pivotTable tabId="18" name="pvt_GroupedBySales"/>
  </pivotTables>
  <state minimalRefreshVersion="6" lastRefreshVersion="6" pivotCacheId="1051118835"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B03A8E9-E48D-4B50-9A2F-DA308F924DC8}" cache="NativeTimeline_Date" caption="Date" level="1" selectionLevel="1" scrollPosition="2021-01-01T00:00:00"/>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 dockstate="right" visibility="0" width="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151CFF2-64A8-4F7A-82CB-F0B4EAC59D0A}">
  <we:reference id="wa200005271" version="2.5.5.0" store="fr-FR" storeType="OMEX"/>
  <we:alternateReferences>
    <we:reference id="WA200005271" version="2.5.5.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6D90A524-ED6B-4EE7-A7E5-10B27A492C63}">
  <we:reference id="wa200007447" version="1.0.0.0" store="fr-CH" storeType="OMEX"/>
  <we:alternateReferences>
    <we:reference id="wa20000744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11/relationships/timeline" Target="../timelines/timelin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18513-6192-40FB-AFAC-D87E9B949F9F}">
  <dimension ref="A1:C19"/>
  <sheetViews>
    <sheetView workbookViewId="0">
      <selection activeCell="B6" sqref="B6"/>
    </sheetView>
  </sheetViews>
  <sheetFormatPr defaultRowHeight="15" x14ac:dyDescent="0.25"/>
  <cols>
    <col min="1" max="1" width="12" bestFit="1" customWidth="1"/>
    <col min="2" max="2" width="13.28515625" bestFit="1" customWidth="1"/>
    <col min="3" max="3" width="9" bestFit="1" customWidth="1"/>
  </cols>
  <sheetData>
    <row r="1" spans="1:3" x14ac:dyDescent="0.25">
      <c r="A1" s="7" t="s">
        <v>31</v>
      </c>
      <c r="B1" t="s">
        <v>101</v>
      </c>
      <c r="C1" t="s">
        <v>102</v>
      </c>
    </row>
    <row r="2" spans="1:3" x14ac:dyDescent="0.25">
      <c r="A2" t="s">
        <v>84</v>
      </c>
      <c r="B2" s="13">
        <v>1643</v>
      </c>
      <c r="C2" s="15">
        <v>4.96434614454919E-3</v>
      </c>
    </row>
    <row r="3" spans="1:3" x14ac:dyDescent="0.25">
      <c r="A3" t="s">
        <v>85</v>
      </c>
      <c r="B3" s="13">
        <v>12073</v>
      </c>
      <c r="C3" s="15">
        <v>3.6478728547256464E-2</v>
      </c>
    </row>
    <row r="4" spans="1:3" x14ac:dyDescent="0.25">
      <c r="A4" t="s">
        <v>86</v>
      </c>
      <c r="B4" s="13">
        <v>19212</v>
      </c>
      <c r="C4" s="15">
        <v>5.8049311094996371E-2</v>
      </c>
    </row>
    <row r="5" spans="1:3" x14ac:dyDescent="0.25">
      <c r="A5" t="s">
        <v>87</v>
      </c>
      <c r="B5" s="13">
        <v>29042</v>
      </c>
      <c r="C5" s="15">
        <v>8.7750785593425182E-2</v>
      </c>
    </row>
    <row r="6" spans="1:3" x14ac:dyDescent="0.25">
      <c r="A6" t="s">
        <v>88</v>
      </c>
      <c r="B6" s="13">
        <v>36673</v>
      </c>
      <c r="C6" s="15">
        <v>0.11080795262267343</v>
      </c>
    </row>
    <row r="7" spans="1:3" x14ac:dyDescent="0.25">
      <c r="A7" t="s">
        <v>89</v>
      </c>
      <c r="B7" s="13">
        <v>37242</v>
      </c>
      <c r="C7" s="15">
        <v>0.11252719361856418</v>
      </c>
    </row>
    <row r="8" spans="1:3" x14ac:dyDescent="0.25">
      <c r="A8" t="s">
        <v>90</v>
      </c>
      <c r="B8" s="13">
        <v>30397</v>
      </c>
      <c r="C8" s="15">
        <v>9.1844935943920722E-2</v>
      </c>
    </row>
    <row r="9" spans="1:3" x14ac:dyDescent="0.25">
      <c r="A9" t="s">
        <v>91</v>
      </c>
      <c r="B9" s="13">
        <v>33706</v>
      </c>
      <c r="C9" s="15">
        <v>0.10184312303601643</v>
      </c>
    </row>
    <row r="10" spans="1:3" x14ac:dyDescent="0.25">
      <c r="A10" t="s">
        <v>92</v>
      </c>
      <c r="B10" s="13">
        <v>22404</v>
      </c>
      <c r="C10" s="15">
        <v>6.7693981145757795E-2</v>
      </c>
    </row>
    <row r="11" spans="1:3" x14ac:dyDescent="0.25">
      <c r="A11" t="s">
        <v>93</v>
      </c>
      <c r="B11" s="13">
        <v>22000</v>
      </c>
      <c r="C11" s="15">
        <v>6.6473289823543627E-2</v>
      </c>
    </row>
    <row r="12" spans="1:3" x14ac:dyDescent="0.25">
      <c r="A12" t="s">
        <v>94</v>
      </c>
      <c r="B12" s="13">
        <v>14963</v>
      </c>
      <c r="C12" s="15">
        <v>4.5210901619531063E-2</v>
      </c>
    </row>
    <row r="13" spans="1:3" x14ac:dyDescent="0.25">
      <c r="A13" t="s">
        <v>95</v>
      </c>
      <c r="B13" s="13">
        <v>23005</v>
      </c>
      <c r="C13" s="15">
        <v>6.9509910563210056E-2</v>
      </c>
    </row>
    <row r="14" spans="1:3" x14ac:dyDescent="0.25">
      <c r="A14" t="s">
        <v>96</v>
      </c>
      <c r="B14" s="13">
        <v>3496</v>
      </c>
      <c r="C14" s="15">
        <v>1.0563210055595842E-2</v>
      </c>
    </row>
    <row r="15" spans="1:3" x14ac:dyDescent="0.25">
      <c r="A15" t="s">
        <v>97</v>
      </c>
      <c r="B15" s="13">
        <v>19150</v>
      </c>
      <c r="C15" s="15">
        <v>5.7861977278220934E-2</v>
      </c>
    </row>
    <row r="16" spans="1:3" x14ac:dyDescent="0.25">
      <c r="A16" t="s">
        <v>98</v>
      </c>
      <c r="B16" s="13">
        <v>8022</v>
      </c>
      <c r="C16" s="15">
        <v>2.4238578680203047E-2</v>
      </c>
    </row>
    <row r="17" spans="1:3" x14ac:dyDescent="0.25">
      <c r="A17" t="s">
        <v>99</v>
      </c>
      <c r="B17" s="13">
        <v>13348</v>
      </c>
      <c r="C17" s="15">
        <v>4.0331157843848199E-2</v>
      </c>
    </row>
    <row r="18" spans="1:3" x14ac:dyDescent="0.25">
      <c r="A18" t="s">
        <v>100</v>
      </c>
      <c r="B18" s="13">
        <v>4584</v>
      </c>
      <c r="C18" s="15">
        <v>1.3850616388687455E-2</v>
      </c>
    </row>
    <row r="19" spans="1:3" x14ac:dyDescent="0.25">
      <c r="A19" t="s">
        <v>3</v>
      </c>
      <c r="B19" s="13">
        <v>330960</v>
      </c>
      <c r="C19" s="15">
        <v>1</v>
      </c>
    </row>
  </sheetData>
  <conditionalFormatting pivot="1" sqref="C2:C18">
    <cfRule type="top10" dxfId="1" priority="2" rank="3"/>
  </conditionalFormatting>
  <conditionalFormatting pivot="1" sqref="B2:B18">
    <cfRule type="top10" dxfId="2" priority="1" rank="3"/>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2A917-D11B-40F5-978E-35C99849AD72}">
  <dimension ref="A1:C15"/>
  <sheetViews>
    <sheetView workbookViewId="0">
      <selection activeCell="A7" sqref="A7"/>
    </sheetView>
  </sheetViews>
  <sheetFormatPr defaultRowHeight="15" x14ac:dyDescent="0.25"/>
  <cols>
    <col min="1" max="1" width="11.28515625" bestFit="1" customWidth="1"/>
    <col min="2" max="2" width="7.28515625" bestFit="1" customWidth="1"/>
    <col min="3" max="3" width="5" bestFit="1" customWidth="1"/>
    <col min="4" max="4" width="8.140625" bestFit="1" customWidth="1"/>
    <col min="5" max="5" width="9.42578125" bestFit="1" customWidth="1"/>
  </cols>
  <sheetData>
    <row r="1" spans="1:3" x14ac:dyDescent="0.25">
      <c r="A1" s="7" t="s">
        <v>83</v>
      </c>
      <c r="B1" s="7" t="s">
        <v>72</v>
      </c>
    </row>
    <row r="2" spans="1:3" x14ac:dyDescent="0.25">
      <c r="A2" s="7" t="s">
        <v>71</v>
      </c>
      <c r="B2" t="s">
        <v>37</v>
      </c>
      <c r="C2" t="s">
        <v>38</v>
      </c>
    </row>
    <row r="3" spans="1:3" x14ac:dyDescent="0.25">
      <c r="A3" t="s">
        <v>57</v>
      </c>
      <c r="B3" s="11">
        <v>35</v>
      </c>
      <c r="C3" s="11">
        <v>92</v>
      </c>
    </row>
    <row r="4" spans="1:3" x14ac:dyDescent="0.25">
      <c r="A4" t="s">
        <v>58</v>
      </c>
      <c r="B4" s="11">
        <v>144</v>
      </c>
      <c r="C4" s="11">
        <v>217</v>
      </c>
    </row>
    <row r="5" spans="1:3" x14ac:dyDescent="0.25">
      <c r="A5" t="s">
        <v>59</v>
      </c>
      <c r="B5" s="11">
        <v>265</v>
      </c>
      <c r="C5" s="11">
        <v>357</v>
      </c>
    </row>
    <row r="6" spans="1:3" x14ac:dyDescent="0.25">
      <c r="A6" t="s">
        <v>60</v>
      </c>
      <c r="B6" s="11">
        <v>337</v>
      </c>
      <c r="C6" s="11">
        <v>503</v>
      </c>
    </row>
    <row r="7" spans="1:3" x14ac:dyDescent="0.25">
      <c r="A7" t="s">
        <v>61</v>
      </c>
      <c r="B7" s="11">
        <v>433</v>
      </c>
      <c r="C7" s="11">
        <v>648</v>
      </c>
    </row>
    <row r="8" spans="1:3" x14ac:dyDescent="0.25">
      <c r="A8" t="s">
        <v>62</v>
      </c>
      <c r="B8" s="11">
        <v>566</v>
      </c>
      <c r="C8" s="11">
        <v>785</v>
      </c>
    </row>
    <row r="9" spans="1:3" x14ac:dyDescent="0.25">
      <c r="A9" t="s">
        <v>63</v>
      </c>
      <c r="B9" s="11">
        <v>603</v>
      </c>
      <c r="C9" s="11">
        <v>937</v>
      </c>
    </row>
    <row r="10" spans="1:3" x14ac:dyDescent="0.25">
      <c r="A10" t="s">
        <v>64</v>
      </c>
      <c r="B10" s="11">
        <v>642</v>
      </c>
      <c r="C10" s="11">
        <v>1119</v>
      </c>
    </row>
    <row r="11" spans="1:3" x14ac:dyDescent="0.25">
      <c r="A11" t="s">
        <v>65</v>
      </c>
      <c r="B11" s="11">
        <v>686</v>
      </c>
      <c r="C11" s="11">
        <v>1158</v>
      </c>
    </row>
    <row r="12" spans="1:3" x14ac:dyDescent="0.25">
      <c r="A12" t="s">
        <v>66</v>
      </c>
      <c r="B12" s="11">
        <v>706</v>
      </c>
      <c r="C12" s="11">
        <v>1343</v>
      </c>
    </row>
    <row r="13" spans="1:3" x14ac:dyDescent="0.25">
      <c r="A13" t="s">
        <v>67</v>
      </c>
      <c r="B13" s="11">
        <v>793</v>
      </c>
      <c r="C13" s="11">
        <v>1484</v>
      </c>
    </row>
    <row r="14" spans="1:3" x14ac:dyDescent="0.25">
      <c r="A14" t="s">
        <v>68</v>
      </c>
      <c r="B14" s="11">
        <v>844</v>
      </c>
      <c r="C14" s="11">
        <v>1659</v>
      </c>
    </row>
    <row r="15" spans="1:3" x14ac:dyDescent="0.25">
      <c r="A15" t="s">
        <v>3</v>
      </c>
      <c r="B15" s="11"/>
      <c r="C15" s="11"/>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729F6-4B8B-497C-BCD7-CA0CE92F26E7}">
  <dimension ref="A1:I30"/>
  <sheetViews>
    <sheetView workbookViewId="0">
      <selection activeCell="G19" sqref="G19"/>
    </sheetView>
  </sheetViews>
  <sheetFormatPr defaultRowHeight="15" x14ac:dyDescent="0.25"/>
  <cols>
    <col min="1" max="1" width="10.140625" bestFit="1" customWidth="1"/>
    <col min="2" max="2" width="21.5703125" bestFit="1" customWidth="1"/>
    <col min="3" max="3" width="11.85546875" bestFit="1" customWidth="1"/>
    <col min="4" max="4" width="12.140625" bestFit="1" customWidth="1"/>
    <col min="5" max="5" width="9.28515625" bestFit="1" customWidth="1"/>
    <col min="6" max="6" width="11.28515625" bestFit="1" customWidth="1"/>
    <col min="7" max="8" width="12" bestFit="1" customWidth="1"/>
    <col min="9" max="9" width="9.28515625" bestFit="1" customWidth="1"/>
  </cols>
  <sheetData>
    <row r="1" spans="1:9" x14ac:dyDescent="0.25">
      <c r="A1" s="14" t="s">
        <v>103</v>
      </c>
    </row>
    <row r="3" spans="1:9" x14ac:dyDescent="0.25">
      <c r="A3" t="s">
        <v>12</v>
      </c>
      <c r="B3" t="s">
        <v>0</v>
      </c>
      <c r="C3" t="s">
        <v>36</v>
      </c>
      <c r="D3" t="s">
        <v>43</v>
      </c>
      <c r="E3" t="s">
        <v>13</v>
      </c>
      <c r="F3" t="s">
        <v>14</v>
      </c>
      <c r="G3" t="s">
        <v>15</v>
      </c>
      <c r="H3" t="s">
        <v>31</v>
      </c>
      <c r="I3" t="s">
        <v>32</v>
      </c>
    </row>
    <row r="4" spans="1:9" x14ac:dyDescent="0.25">
      <c r="A4" s="12">
        <v>44863</v>
      </c>
      <c r="B4" t="s">
        <v>17</v>
      </c>
      <c r="C4" t="s">
        <v>1</v>
      </c>
      <c r="D4" t="s">
        <v>11</v>
      </c>
      <c r="E4">
        <v>18</v>
      </c>
      <c r="F4">
        <v>270</v>
      </c>
      <c r="G4">
        <v>405</v>
      </c>
      <c r="H4">
        <v>7290</v>
      </c>
      <c r="I4">
        <v>2430</v>
      </c>
    </row>
    <row r="5" spans="1:9" x14ac:dyDescent="0.25">
      <c r="A5" s="12">
        <v>44863</v>
      </c>
      <c r="B5" t="s">
        <v>28</v>
      </c>
      <c r="C5" t="s">
        <v>1</v>
      </c>
      <c r="D5" t="s">
        <v>8</v>
      </c>
      <c r="E5">
        <v>14</v>
      </c>
      <c r="F5">
        <v>362</v>
      </c>
      <c r="G5">
        <v>543</v>
      </c>
      <c r="H5">
        <v>7602</v>
      </c>
      <c r="I5">
        <v>2534</v>
      </c>
    </row>
    <row r="6" spans="1:9" x14ac:dyDescent="0.25">
      <c r="A6" s="12">
        <v>44863</v>
      </c>
      <c r="B6" t="s">
        <v>26</v>
      </c>
      <c r="C6" t="s">
        <v>5</v>
      </c>
      <c r="D6" t="s">
        <v>7</v>
      </c>
      <c r="E6">
        <v>7</v>
      </c>
      <c r="F6">
        <v>206</v>
      </c>
      <c r="G6">
        <v>631</v>
      </c>
      <c r="H6">
        <v>4417</v>
      </c>
      <c r="I6">
        <v>2975</v>
      </c>
    </row>
    <row r="7" spans="1:9" x14ac:dyDescent="0.25">
      <c r="A7" s="12">
        <v>44861</v>
      </c>
      <c r="B7" t="s">
        <v>26</v>
      </c>
      <c r="C7" t="s">
        <v>4</v>
      </c>
      <c r="D7" t="s">
        <v>8</v>
      </c>
      <c r="E7">
        <v>8</v>
      </c>
      <c r="F7">
        <v>382</v>
      </c>
      <c r="G7">
        <v>573</v>
      </c>
      <c r="H7">
        <v>4584</v>
      </c>
      <c r="I7">
        <v>1528</v>
      </c>
    </row>
    <row r="8" spans="1:9" x14ac:dyDescent="0.25">
      <c r="A8" s="12">
        <v>44861</v>
      </c>
      <c r="B8" t="s">
        <v>28</v>
      </c>
      <c r="C8" t="s">
        <v>4</v>
      </c>
      <c r="D8" t="s">
        <v>10</v>
      </c>
      <c r="E8">
        <v>16</v>
      </c>
      <c r="F8">
        <v>407</v>
      </c>
      <c r="G8">
        <v>610</v>
      </c>
      <c r="H8">
        <v>9760</v>
      </c>
      <c r="I8">
        <v>3248</v>
      </c>
    </row>
    <row r="9" spans="1:9" x14ac:dyDescent="0.25">
      <c r="A9" s="12">
        <v>44861</v>
      </c>
      <c r="B9" t="s">
        <v>23</v>
      </c>
      <c r="C9" t="s">
        <v>6</v>
      </c>
      <c r="D9" t="s">
        <v>8</v>
      </c>
      <c r="E9">
        <v>10</v>
      </c>
      <c r="F9">
        <v>382</v>
      </c>
      <c r="G9">
        <v>319</v>
      </c>
      <c r="H9">
        <v>3190</v>
      </c>
      <c r="I9">
        <v>-630</v>
      </c>
    </row>
    <row r="10" spans="1:9" x14ac:dyDescent="0.25">
      <c r="A10" s="12">
        <v>44857</v>
      </c>
      <c r="B10" t="s">
        <v>30</v>
      </c>
      <c r="C10" t="s">
        <v>6</v>
      </c>
      <c r="D10" t="s">
        <v>7</v>
      </c>
      <c r="E10">
        <v>24</v>
      </c>
      <c r="F10">
        <v>224</v>
      </c>
      <c r="G10">
        <v>336</v>
      </c>
      <c r="H10">
        <v>8064</v>
      </c>
      <c r="I10">
        <v>2688</v>
      </c>
    </row>
    <row r="11" spans="1:9" x14ac:dyDescent="0.25">
      <c r="A11" s="12">
        <v>44857</v>
      </c>
      <c r="B11" t="s">
        <v>17</v>
      </c>
      <c r="C11" t="s">
        <v>4</v>
      </c>
      <c r="D11" t="s">
        <v>10</v>
      </c>
      <c r="E11">
        <v>10</v>
      </c>
      <c r="F11">
        <v>474</v>
      </c>
      <c r="G11">
        <v>711</v>
      </c>
      <c r="H11">
        <v>7110</v>
      </c>
      <c r="I11">
        <v>2370</v>
      </c>
    </row>
    <row r="12" spans="1:9" x14ac:dyDescent="0.25">
      <c r="A12" s="12">
        <v>44857</v>
      </c>
      <c r="B12" t="s">
        <v>25</v>
      </c>
      <c r="C12" t="s">
        <v>6</v>
      </c>
      <c r="D12" t="s">
        <v>10</v>
      </c>
      <c r="E12">
        <v>8</v>
      </c>
      <c r="F12">
        <v>474</v>
      </c>
      <c r="G12">
        <v>417</v>
      </c>
      <c r="H12">
        <v>3336</v>
      </c>
      <c r="I12">
        <v>-456</v>
      </c>
    </row>
    <row r="13" spans="1:9" x14ac:dyDescent="0.25">
      <c r="A13" s="12">
        <v>44855</v>
      </c>
      <c r="B13" t="s">
        <v>17</v>
      </c>
      <c r="C13" t="s">
        <v>5</v>
      </c>
      <c r="D13" t="s">
        <v>11</v>
      </c>
      <c r="E13">
        <v>19</v>
      </c>
      <c r="F13">
        <v>105</v>
      </c>
      <c r="G13">
        <v>157</v>
      </c>
      <c r="H13">
        <v>2983</v>
      </c>
      <c r="I13">
        <v>988</v>
      </c>
    </row>
    <row r="14" spans="1:9" x14ac:dyDescent="0.25">
      <c r="A14" s="12">
        <v>44855</v>
      </c>
      <c r="B14" t="s">
        <v>29</v>
      </c>
      <c r="C14" t="s">
        <v>6</v>
      </c>
      <c r="D14" t="s">
        <v>9</v>
      </c>
      <c r="E14">
        <v>21</v>
      </c>
      <c r="F14">
        <v>434</v>
      </c>
      <c r="G14">
        <v>651</v>
      </c>
      <c r="H14">
        <v>13671</v>
      </c>
      <c r="I14">
        <v>4557</v>
      </c>
    </row>
    <row r="15" spans="1:9" x14ac:dyDescent="0.25">
      <c r="A15" s="12">
        <v>44855</v>
      </c>
      <c r="B15" t="s">
        <v>17</v>
      </c>
      <c r="C15" t="s">
        <v>5</v>
      </c>
      <c r="D15" t="s">
        <v>7</v>
      </c>
      <c r="E15">
        <v>14</v>
      </c>
      <c r="F15">
        <v>105</v>
      </c>
      <c r="G15">
        <v>504</v>
      </c>
      <c r="H15">
        <v>7056</v>
      </c>
      <c r="I15">
        <v>5586</v>
      </c>
    </row>
    <row r="16" spans="1:9" x14ac:dyDescent="0.25">
      <c r="A16" s="12">
        <v>44849</v>
      </c>
      <c r="B16" t="s">
        <v>30</v>
      </c>
      <c r="C16" t="s">
        <v>4</v>
      </c>
      <c r="D16" t="s">
        <v>10</v>
      </c>
      <c r="E16">
        <v>13</v>
      </c>
      <c r="F16">
        <v>385</v>
      </c>
      <c r="G16">
        <v>577</v>
      </c>
      <c r="H16">
        <v>7501</v>
      </c>
      <c r="I16">
        <v>2496</v>
      </c>
    </row>
    <row r="17" spans="1:9" x14ac:dyDescent="0.25">
      <c r="A17" s="12">
        <v>44849</v>
      </c>
      <c r="B17" t="s">
        <v>25</v>
      </c>
      <c r="C17" t="s">
        <v>4</v>
      </c>
      <c r="D17" t="s">
        <v>8</v>
      </c>
      <c r="E17">
        <v>8</v>
      </c>
      <c r="F17">
        <v>427</v>
      </c>
      <c r="G17">
        <v>640</v>
      </c>
      <c r="H17">
        <v>5120</v>
      </c>
      <c r="I17">
        <v>1704</v>
      </c>
    </row>
    <row r="18" spans="1:9" x14ac:dyDescent="0.25">
      <c r="A18" s="12">
        <v>44849</v>
      </c>
      <c r="B18" t="s">
        <v>24</v>
      </c>
      <c r="C18" t="s">
        <v>1</v>
      </c>
      <c r="D18" t="s">
        <v>11</v>
      </c>
      <c r="E18">
        <v>5</v>
      </c>
      <c r="F18">
        <v>362</v>
      </c>
      <c r="G18">
        <v>543</v>
      </c>
      <c r="H18">
        <v>2715</v>
      </c>
      <c r="I18">
        <v>905</v>
      </c>
    </row>
    <row r="19" spans="1:9" x14ac:dyDescent="0.25">
      <c r="A19" s="12">
        <v>44849</v>
      </c>
      <c r="B19" t="s">
        <v>24</v>
      </c>
      <c r="C19" t="s">
        <v>1</v>
      </c>
      <c r="D19" t="s">
        <v>9</v>
      </c>
      <c r="E19">
        <v>15</v>
      </c>
      <c r="F19">
        <v>228</v>
      </c>
      <c r="G19">
        <v>342</v>
      </c>
      <c r="H19">
        <v>5130</v>
      </c>
      <c r="I19">
        <v>1710</v>
      </c>
    </row>
    <row r="20" spans="1:9" x14ac:dyDescent="0.25">
      <c r="A20" s="12">
        <v>44849</v>
      </c>
      <c r="B20" t="s">
        <v>22</v>
      </c>
      <c r="C20" t="s">
        <v>1</v>
      </c>
      <c r="D20" t="s">
        <v>7</v>
      </c>
      <c r="E20">
        <v>7</v>
      </c>
      <c r="F20">
        <v>385</v>
      </c>
      <c r="G20">
        <v>498</v>
      </c>
      <c r="H20">
        <v>3486</v>
      </c>
      <c r="I20">
        <v>791</v>
      </c>
    </row>
    <row r="21" spans="1:9" x14ac:dyDescent="0.25">
      <c r="A21" s="12">
        <v>44849</v>
      </c>
      <c r="B21" t="s">
        <v>25</v>
      </c>
      <c r="C21" t="s">
        <v>5</v>
      </c>
      <c r="D21" t="s">
        <v>8</v>
      </c>
      <c r="E21">
        <v>23</v>
      </c>
      <c r="F21">
        <v>228</v>
      </c>
      <c r="G21">
        <v>392</v>
      </c>
      <c r="H21">
        <v>9016</v>
      </c>
      <c r="I21">
        <v>3772</v>
      </c>
    </row>
    <row r="22" spans="1:9" x14ac:dyDescent="0.25">
      <c r="A22" s="12">
        <v>44843</v>
      </c>
      <c r="B22" t="s">
        <v>26</v>
      </c>
      <c r="C22" t="s">
        <v>6</v>
      </c>
      <c r="D22" t="s">
        <v>9</v>
      </c>
      <c r="E22">
        <v>25</v>
      </c>
      <c r="F22">
        <v>270</v>
      </c>
      <c r="G22">
        <v>405</v>
      </c>
      <c r="H22">
        <v>10125</v>
      </c>
      <c r="I22">
        <v>3375</v>
      </c>
    </row>
    <row r="23" spans="1:9" x14ac:dyDescent="0.25">
      <c r="A23" s="12">
        <v>44843</v>
      </c>
      <c r="B23" t="s">
        <v>27</v>
      </c>
      <c r="C23" t="s">
        <v>4</v>
      </c>
      <c r="D23" t="s">
        <v>9</v>
      </c>
      <c r="E23">
        <v>19</v>
      </c>
      <c r="F23">
        <v>474</v>
      </c>
      <c r="G23">
        <v>711</v>
      </c>
      <c r="H23">
        <v>13509</v>
      </c>
      <c r="I23">
        <v>4503</v>
      </c>
    </row>
    <row r="24" spans="1:9" x14ac:dyDescent="0.25">
      <c r="A24" s="12">
        <v>44843</v>
      </c>
      <c r="B24" t="s">
        <v>30</v>
      </c>
      <c r="C24" t="s">
        <v>4</v>
      </c>
      <c r="D24" t="s">
        <v>9</v>
      </c>
      <c r="E24">
        <v>23</v>
      </c>
      <c r="F24">
        <v>270</v>
      </c>
      <c r="G24">
        <v>546</v>
      </c>
      <c r="H24">
        <v>12558</v>
      </c>
      <c r="I24">
        <v>6348</v>
      </c>
    </row>
    <row r="25" spans="1:9" x14ac:dyDescent="0.25">
      <c r="A25" s="12">
        <v>44837</v>
      </c>
      <c r="B25" t="s">
        <v>25</v>
      </c>
      <c r="C25" t="s">
        <v>1</v>
      </c>
      <c r="D25" t="s">
        <v>11</v>
      </c>
      <c r="E25">
        <v>23</v>
      </c>
      <c r="F25">
        <v>224</v>
      </c>
      <c r="G25">
        <v>336</v>
      </c>
      <c r="H25">
        <v>7728</v>
      </c>
      <c r="I25">
        <v>2576</v>
      </c>
    </row>
    <row r="26" spans="1:9" x14ac:dyDescent="0.25">
      <c r="A26" s="12">
        <v>44837</v>
      </c>
      <c r="B26" t="s">
        <v>23</v>
      </c>
      <c r="C26" t="s">
        <v>1</v>
      </c>
      <c r="D26" t="s">
        <v>8</v>
      </c>
      <c r="E26">
        <v>11</v>
      </c>
      <c r="F26">
        <v>228</v>
      </c>
      <c r="G26">
        <v>342</v>
      </c>
      <c r="H26">
        <v>3762</v>
      </c>
      <c r="I26">
        <v>1254</v>
      </c>
    </row>
    <row r="27" spans="1:9" x14ac:dyDescent="0.25">
      <c r="A27" s="12">
        <v>44837</v>
      </c>
      <c r="B27" t="s">
        <v>21</v>
      </c>
      <c r="C27" t="s">
        <v>4</v>
      </c>
      <c r="D27" t="s">
        <v>11</v>
      </c>
      <c r="E27">
        <v>23</v>
      </c>
      <c r="F27">
        <v>224</v>
      </c>
      <c r="G27">
        <v>205</v>
      </c>
      <c r="H27">
        <v>4715</v>
      </c>
      <c r="I27">
        <v>-437</v>
      </c>
    </row>
    <row r="28" spans="1:9" x14ac:dyDescent="0.25">
      <c r="A28" s="12">
        <v>44836</v>
      </c>
      <c r="B28" t="s">
        <v>29</v>
      </c>
      <c r="C28" t="s">
        <v>5</v>
      </c>
      <c r="D28" t="s">
        <v>11</v>
      </c>
      <c r="E28">
        <v>20</v>
      </c>
      <c r="F28">
        <v>265</v>
      </c>
      <c r="G28">
        <v>397</v>
      </c>
      <c r="H28">
        <v>7940</v>
      </c>
      <c r="I28">
        <v>2640</v>
      </c>
    </row>
    <row r="29" spans="1:9" x14ac:dyDescent="0.25">
      <c r="A29" s="12">
        <v>44836</v>
      </c>
      <c r="B29" t="s">
        <v>16</v>
      </c>
      <c r="C29" t="s">
        <v>4</v>
      </c>
      <c r="D29" t="s">
        <v>8</v>
      </c>
      <c r="E29">
        <v>8</v>
      </c>
      <c r="F29">
        <v>360</v>
      </c>
      <c r="G29">
        <v>663</v>
      </c>
      <c r="H29">
        <v>5304</v>
      </c>
      <c r="I29">
        <v>2424</v>
      </c>
    </row>
    <row r="30" spans="1:9" x14ac:dyDescent="0.25">
      <c r="A30" s="12">
        <v>44836</v>
      </c>
      <c r="B30" t="s">
        <v>25</v>
      </c>
      <c r="C30" t="s">
        <v>4</v>
      </c>
      <c r="D30" t="s">
        <v>7</v>
      </c>
      <c r="E30">
        <v>15</v>
      </c>
      <c r="F30">
        <v>360</v>
      </c>
      <c r="G30">
        <v>315</v>
      </c>
      <c r="H30">
        <v>4725</v>
      </c>
      <c r="I30">
        <v>-675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63316-4F8C-4D92-9F03-200EC0E70108}">
  <dimension ref="A3:K21"/>
  <sheetViews>
    <sheetView tabSelected="1" workbookViewId="0">
      <selection activeCell="T32" sqref="T32"/>
    </sheetView>
  </sheetViews>
  <sheetFormatPr defaultRowHeight="15" x14ac:dyDescent="0.25"/>
  <cols>
    <col min="1" max="1" width="11.28515625" bestFit="1" customWidth="1"/>
    <col min="2" max="5" width="9.42578125" bestFit="1" customWidth="1"/>
    <col min="6" max="6" width="14" bestFit="1" customWidth="1"/>
    <col min="7" max="7" width="15.85546875" bestFit="1" customWidth="1"/>
  </cols>
  <sheetData>
    <row r="3" spans="1:5" x14ac:dyDescent="0.25">
      <c r="B3" s="7" t="s">
        <v>72</v>
      </c>
      <c r="C3" s="7" t="s">
        <v>80</v>
      </c>
    </row>
    <row r="4" spans="1:5" x14ac:dyDescent="0.25">
      <c r="B4" t="s">
        <v>37</v>
      </c>
      <c r="D4" t="s">
        <v>38</v>
      </c>
    </row>
    <row r="5" spans="1:5" x14ac:dyDescent="0.25">
      <c r="A5" s="7" t="s">
        <v>71</v>
      </c>
      <c r="B5" t="s">
        <v>81</v>
      </c>
      <c r="C5" t="s">
        <v>82</v>
      </c>
      <c r="D5" t="s">
        <v>81</v>
      </c>
      <c r="E5" t="s">
        <v>82</v>
      </c>
    </row>
    <row r="6" spans="1:5" x14ac:dyDescent="0.25">
      <c r="A6" t="s">
        <v>57</v>
      </c>
      <c r="B6" s="16">
        <v>35</v>
      </c>
      <c r="C6" s="15"/>
      <c r="D6" s="16">
        <v>92</v>
      </c>
      <c r="E6" s="15">
        <v>1.6285714285714286</v>
      </c>
    </row>
    <row r="7" spans="1:5" x14ac:dyDescent="0.25">
      <c r="A7" t="s">
        <v>58</v>
      </c>
      <c r="B7" s="16">
        <v>109</v>
      </c>
      <c r="C7" s="15"/>
      <c r="D7" s="16">
        <v>125</v>
      </c>
      <c r="E7" s="15">
        <v>0.14678899082568808</v>
      </c>
    </row>
    <row r="8" spans="1:5" x14ac:dyDescent="0.25">
      <c r="A8" t="s">
        <v>59</v>
      </c>
      <c r="B8" s="16">
        <v>121</v>
      </c>
      <c r="C8" s="15"/>
      <c r="D8" s="16">
        <v>140</v>
      </c>
      <c r="E8" s="15">
        <v>0.15702479338842976</v>
      </c>
    </row>
    <row r="9" spans="1:5" x14ac:dyDescent="0.25">
      <c r="A9" t="s">
        <v>60</v>
      </c>
      <c r="B9" s="16">
        <v>72</v>
      </c>
      <c r="C9" s="15"/>
      <c r="D9" s="16">
        <v>146</v>
      </c>
      <c r="E9" s="15">
        <v>1.0277777777777777</v>
      </c>
    </row>
    <row r="10" spans="1:5" x14ac:dyDescent="0.25">
      <c r="A10" t="s">
        <v>61</v>
      </c>
      <c r="B10" s="16">
        <v>96</v>
      </c>
      <c r="C10" s="15"/>
      <c r="D10" s="16">
        <v>145</v>
      </c>
      <c r="E10" s="15">
        <v>0.51041666666666663</v>
      </c>
    </row>
    <row r="11" spans="1:5" x14ac:dyDescent="0.25">
      <c r="A11" t="s">
        <v>62</v>
      </c>
      <c r="B11" s="16">
        <v>133</v>
      </c>
      <c r="C11" s="15"/>
      <c r="D11" s="16">
        <v>137</v>
      </c>
      <c r="E11" s="15">
        <v>3.007518796992481E-2</v>
      </c>
    </row>
    <row r="12" spans="1:5" x14ac:dyDescent="0.25">
      <c r="A12" t="s">
        <v>63</v>
      </c>
      <c r="B12" s="16">
        <v>37</v>
      </c>
      <c r="C12" s="15"/>
      <c r="D12" s="16">
        <v>152</v>
      </c>
      <c r="E12" s="15">
        <v>3.1081081081081079</v>
      </c>
    </row>
    <row r="13" spans="1:5" x14ac:dyDescent="0.25">
      <c r="A13" t="s">
        <v>64</v>
      </c>
      <c r="B13" s="16">
        <v>39</v>
      </c>
      <c r="C13" s="15"/>
      <c r="D13" s="16">
        <v>182</v>
      </c>
      <c r="E13" s="15">
        <v>3.6666666666666665</v>
      </c>
    </row>
    <row r="14" spans="1:5" x14ac:dyDescent="0.25">
      <c r="A14" t="s">
        <v>65</v>
      </c>
      <c r="B14" s="16">
        <v>44</v>
      </c>
      <c r="C14" s="15"/>
      <c r="D14" s="16">
        <v>39</v>
      </c>
      <c r="E14" s="15">
        <v>-0.11363636363636363</v>
      </c>
    </row>
    <row r="15" spans="1:5" x14ac:dyDescent="0.25">
      <c r="A15" t="s">
        <v>66</v>
      </c>
      <c r="B15" s="16">
        <v>20</v>
      </c>
      <c r="C15" s="15"/>
      <c r="D15" s="16">
        <v>185</v>
      </c>
      <c r="E15" s="15">
        <v>8.25</v>
      </c>
    </row>
    <row r="16" spans="1:5" x14ac:dyDescent="0.25">
      <c r="A16" t="s">
        <v>67</v>
      </c>
      <c r="B16" s="16">
        <v>87</v>
      </c>
      <c r="C16" s="15"/>
      <c r="D16" s="16">
        <v>141</v>
      </c>
      <c r="E16" s="15">
        <v>0.62068965517241381</v>
      </c>
    </row>
    <row r="17" spans="1:11" x14ac:dyDescent="0.25">
      <c r="A17" t="s">
        <v>68</v>
      </c>
      <c r="B17" s="16">
        <v>51</v>
      </c>
      <c r="C17" s="15"/>
      <c r="D17" s="16">
        <v>175</v>
      </c>
      <c r="E17" s="15">
        <v>2.4313725490196076</v>
      </c>
    </row>
    <row r="18" spans="1:11" x14ac:dyDescent="0.25">
      <c r="A18" t="s">
        <v>3</v>
      </c>
      <c r="B18" s="16">
        <v>844</v>
      </c>
      <c r="C18" s="15"/>
      <c r="D18" s="16">
        <v>1659</v>
      </c>
      <c r="E18" s="15">
        <v>0.96563981042654023</v>
      </c>
    </row>
    <row r="21" spans="1:11" x14ac:dyDescent="0.25">
      <c r="C21" s="15"/>
      <c r="D21" s="15"/>
      <c r="E21" s="15"/>
      <c r="F21" s="15"/>
      <c r="G21" s="15"/>
      <c r="H21" s="15"/>
      <c r="I21" s="15"/>
      <c r="J21" s="15"/>
      <c r="K21" s="15"/>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2B6F3-B18B-4A45-80FE-BCF6FC7BC8EC}">
  <dimension ref="A1:I16"/>
  <sheetViews>
    <sheetView workbookViewId="0">
      <selection activeCell="H6" sqref="H6"/>
    </sheetView>
  </sheetViews>
  <sheetFormatPr defaultRowHeight="15" x14ac:dyDescent="0.25"/>
  <cols>
    <col min="1" max="1" width="11.28515625" bestFit="1" customWidth="1"/>
    <col min="2" max="2" width="13.28515625" bestFit="1" customWidth="1"/>
    <col min="3" max="3" width="6.7109375" bestFit="1" customWidth="1"/>
    <col min="4" max="4" width="10.140625" bestFit="1" customWidth="1"/>
    <col min="5" max="5" width="8.140625" bestFit="1" customWidth="1"/>
    <col min="7" max="7" width="11.28515625" bestFit="1" customWidth="1"/>
    <col min="8" max="8" width="13.28515625" bestFit="1" customWidth="1"/>
    <col min="9" max="9" width="9.28515625" bestFit="1" customWidth="1"/>
    <col min="12" max="12" width="11.28515625" bestFit="1" customWidth="1"/>
    <col min="13" max="13" width="8.140625" bestFit="1" customWidth="1"/>
    <col min="14" max="14" width="10.140625" bestFit="1" customWidth="1"/>
  </cols>
  <sheetData>
    <row r="1" spans="1:9" x14ac:dyDescent="0.25">
      <c r="A1" s="7" t="s">
        <v>72</v>
      </c>
      <c r="B1" t="s">
        <v>37</v>
      </c>
      <c r="G1" s="7" t="s">
        <v>72</v>
      </c>
      <c r="H1" t="s">
        <v>37</v>
      </c>
    </row>
    <row r="3" spans="1:9" x14ac:dyDescent="0.25">
      <c r="A3" s="7" t="s">
        <v>71</v>
      </c>
      <c r="B3" t="s">
        <v>74</v>
      </c>
      <c r="C3" t="s">
        <v>78</v>
      </c>
      <c r="D3" t="s">
        <v>77</v>
      </c>
      <c r="G3" s="7" t="s">
        <v>71</v>
      </c>
      <c r="H3" t="s">
        <v>74</v>
      </c>
      <c r="I3" t="s">
        <v>79</v>
      </c>
    </row>
    <row r="4" spans="1:9" x14ac:dyDescent="0.25">
      <c r="A4" t="s">
        <v>57</v>
      </c>
      <c r="B4" s="13">
        <v>18201</v>
      </c>
      <c r="C4" s="11"/>
      <c r="D4" s="17"/>
      <c r="G4" t="s">
        <v>57</v>
      </c>
      <c r="H4" s="13">
        <v>18201</v>
      </c>
      <c r="I4" s="15"/>
    </row>
    <row r="5" spans="1:9" x14ac:dyDescent="0.25">
      <c r="A5" t="s">
        <v>58</v>
      </c>
      <c r="B5" s="13">
        <v>45782</v>
      </c>
      <c r="C5" s="11">
        <v>27581</v>
      </c>
      <c r="D5" s="17">
        <v>1.5153562991044449</v>
      </c>
      <c r="G5" t="s">
        <v>58</v>
      </c>
      <c r="H5" s="13">
        <v>45782</v>
      </c>
      <c r="I5" s="15">
        <v>1.5153562991044449</v>
      </c>
    </row>
    <row r="6" spans="1:9" x14ac:dyDescent="0.25">
      <c r="A6" t="s">
        <v>59</v>
      </c>
      <c r="B6" s="13">
        <v>67131</v>
      </c>
      <c r="C6" s="11">
        <v>21349</v>
      </c>
      <c r="D6" s="17">
        <v>2.6883138289104993</v>
      </c>
      <c r="G6" t="s">
        <v>59</v>
      </c>
      <c r="H6" s="13">
        <v>67131</v>
      </c>
      <c r="I6" s="15">
        <v>0.466318640513739</v>
      </c>
    </row>
    <row r="7" spans="1:9" x14ac:dyDescent="0.25">
      <c r="A7" t="s">
        <v>60</v>
      </c>
      <c r="B7" s="13">
        <v>28631</v>
      </c>
      <c r="C7" s="11">
        <v>-38500</v>
      </c>
      <c r="D7" s="17">
        <v>0.57304543706389754</v>
      </c>
      <c r="G7" t="s">
        <v>60</v>
      </c>
      <c r="H7" s="13">
        <v>28631</v>
      </c>
      <c r="I7" s="15">
        <v>-0.57350553395599646</v>
      </c>
    </row>
    <row r="8" spans="1:9" x14ac:dyDescent="0.25">
      <c r="A8" t="s">
        <v>61</v>
      </c>
      <c r="B8" s="13">
        <v>42383</v>
      </c>
      <c r="C8" s="11">
        <v>13752</v>
      </c>
      <c r="D8" s="17">
        <v>1.3286083182242734</v>
      </c>
      <c r="G8" t="s">
        <v>61</v>
      </c>
      <c r="H8" s="13">
        <v>42383</v>
      </c>
      <c r="I8" s="15">
        <v>0.48031853585274703</v>
      </c>
    </row>
    <row r="9" spans="1:9" x14ac:dyDescent="0.25">
      <c r="A9" t="s">
        <v>62</v>
      </c>
      <c r="B9" s="13">
        <v>67581</v>
      </c>
      <c r="C9" s="11">
        <v>25198</v>
      </c>
      <c r="D9" s="17">
        <v>2.7130377451788363</v>
      </c>
      <c r="G9" t="s">
        <v>62</v>
      </c>
      <c r="H9" s="13">
        <v>67581</v>
      </c>
      <c r="I9" s="15">
        <v>0.59453082603874197</v>
      </c>
    </row>
    <row r="10" spans="1:9" x14ac:dyDescent="0.25">
      <c r="A10" t="s">
        <v>63</v>
      </c>
      <c r="B10" s="13">
        <v>16442</v>
      </c>
      <c r="C10" s="11">
        <v>-51139</v>
      </c>
      <c r="D10" s="17">
        <v>-9.6643041591121373E-2</v>
      </c>
      <c r="G10" t="s">
        <v>63</v>
      </c>
      <c r="H10" s="13">
        <v>16442</v>
      </c>
      <c r="I10" s="15">
        <v>-0.7567067666947811</v>
      </c>
    </row>
    <row r="11" spans="1:9" x14ac:dyDescent="0.25">
      <c r="A11" t="s">
        <v>64</v>
      </c>
      <c r="B11" s="13">
        <v>19111</v>
      </c>
      <c r="C11" s="11">
        <v>2669</v>
      </c>
      <c r="D11" s="17">
        <v>4.9997252898192408E-2</v>
      </c>
      <c r="G11" t="s">
        <v>64</v>
      </c>
      <c r="H11" s="13">
        <v>19111</v>
      </c>
      <c r="I11" s="15">
        <v>0.16232818391923123</v>
      </c>
    </row>
    <row r="12" spans="1:9" x14ac:dyDescent="0.25">
      <c r="A12" t="s">
        <v>65</v>
      </c>
      <c r="B12" s="13">
        <v>12664</v>
      </c>
      <c r="C12" s="11">
        <v>-6447</v>
      </c>
      <c r="D12" s="17">
        <v>-0.30421405417284764</v>
      </c>
      <c r="G12" t="s">
        <v>65</v>
      </c>
      <c r="H12" s="13">
        <v>12664</v>
      </c>
      <c r="I12" s="15">
        <v>-0.33734498456386375</v>
      </c>
    </row>
    <row r="13" spans="1:9" x14ac:dyDescent="0.25">
      <c r="A13" t="s">
        <v>66</v>
      </c>
      <c r="B13" s="13">
        <v>9198</v>
      </c>
      <c r="C13" s="11">
        <v>-3466</v>
      </c>
      <c r="D13" s="17">
        <v>-0.49464315147519367</v>
      </c>
      <c r="G13" t="s">
        <v>66</v>
      </c>
      <c r="H13" s="13">
        <v>9198</v>
      </c>
      <c r="I13" s="15">
        <v>-0.273689197725837</v>
      </c>
    </row>
    <row r="14" spans="1:9" x14ac:dyDescent="0.25">
      <c r="A14" t="s">
        <v>67</v>
      </c>
      <c r="B14" s="13">
        <v>40273</v>
      </c>
      <c r="C14" s="11">
        <v>31075</v>
      </c>
      <c r="D14" s="17">
        <v>1.2126806219438493</v>
      </c>
      <c r="G14" t="s">
        <v>67</v>
      </c>
      <c r="H14" s="13">
        <v>40273</v>
      </c>
      <c r="I14" s="15">
        <v>3.3784518373559469</v>
      </c>
    </row>
    <row r="15" spans="1:9" x14ac:dyDescent="0.25">
      <c r="A15" t="s">
        <v>68</v>
      </c>
      <c r="B15" s="13">
        <v>21131</v>
      </c>
      <c r="C15" s="11">
        <v>-19142</v>
      </c>
      <c r="D15" s="17">
        <v>0.16098016592494918</v>
      </c>
      <c r="G15" t="s">
        <v>68</v>
      </c>
      <c r="H15" s="13">
        <v>21131</v>
      </c>
      <c r="I15" s="15">
        <v>-0.47530603630223722</v>
      </c>
    </row>
    <row r="16" spans="1:9" x14ac:dyDescent="0.25">
      <c r="A16" t="s">
        <v>3</v>
      </c>
      <c r="B16" s="13">
        <v>388528</v>
      </c>
      <c r="C16" s="11"/>
      <c r="D16" s="15"/>
      <c r="G16" t="s">
        <v>3</v>
      </c>
      <c r="H16" s="13">
        <v>388528</v>
      </c>
      <c r="I16" s="15"/>
    </row>
  </sheetData>
  <conditionalFormatting pivot="1" sqref="C4:C15">
    <cfRule type="cellIs" dxfId="22" priority="6" operator="lessThan">
      <formula>0</formula>
    </cfRule>
  </conditionalFormatting>
  <conditionalFormatting pivot="1" sqref="D4:D15">
    <cfRule type="cellIs" dxfId="21" priority="5" operator="lessThan">
      <formula>0</formula>
    </cfRule>
  </conditionalFormatting>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54AF8-F2F1-4CD0-8FE9-8EC5E8E96185}">
  <dimension ref="A1:D16"/>
  <sheetViews>
    <sheetView workbookViewId="0">
      <selection activeCell="B7" sqref="B7"/>
    </sheetView>
  </sheetViews>
  <sheetFormatPr defaultRowHeight="15" x14ac:dyDescent="0.25"/>
  <cols>
    <col min="1" max="1" width="11.28515625" bestFit="1" customWidth="1"/>
    <col min="2" max="2" width="13.28515625" bestFit="1" customWidth="1"/>
    <col min="3" max="3" width="6.7109375" bestFit="1" customWidth="1"/>
    <col min="4" max="4" width="10.140625" bestFit="1" customWidth="1"/>
    <col min="5" max="5" width="8.140625" bestFit="1" customWidth="1"/>
  </cols>
  <sheetData>
    <row r="1" spans="1:4" x14ac:dyDescent="0.25">
      <c r="A1" s="7" t="s">
        <v>72</v>
      </c>
      <c r="B1" t="s">
        <v>37</v>
      </c>
    </row>
    <row r="3" spans="1:4" x14ac:dyDescent="0.25">
      <c r="A3" s="7" t="s">
        <v>71</v>
      </c>
      <c r="B3" t="s">
        <v>74</v>
      </c>
      <c r="C3" t="s">
        <v>78</v>
      </c>
      <c r="D3" t="s">
        <v>77</v>
      </c>
    </row>
    <row r="4" spans="1:4" x14ac:dyDescent="0.25">
      <c r="A4" t="s">
        <v>57</v>
      </c>
      <c r="B4" s="13">
        <v>18201</v>
      </c>
      <c r="C4" s="11"/>
      <c r="D4" s="17"/>
    </row>
    <row r="5" spans="1:4" x14ac:dyDescent="0.25">
      <c r="A5" t="s">
        <v>58</v>
      </c>
      <c r="B5" s="13">
        <v>45782</v>
      </c>
      <c r="C5" s="11">
        <v>27581</v>
      </c>
      <c r="D5" s="17">
        <v>1.5153562991044449</v>
      </c>
    </row>
    <row r="6" spans="1:4" x14ac:dyDescent="0.25">
      <c r="A6" t="s">
        <v>59</v>
      </c>
      <c r="B6" s="13">
        <v>67131</v>
      </c>
      <c r="C6" s="11">
        <v>21349</v>
      </c>
      <c r="D6" s="17">
        <v>2.6883138289104993</v>
      </c>
    </row>
    <row r="7" spans="1:4" x14ac:dyDescent="0.25">
      <c r="A7" t="s">
        <v>60</v>
      </c>
      <c r="B7" s="13">
        <v>28631</v>
      </c>
      <c r="C7" s="11">
        <v>-38500</v>
      </c>
      <c r="D7" s="17">
        <v>0.57304543706389754</v>
      </c>
    </row>
    <row r="8" spans="1:4" x14ac:dyDescent="0.25">
      <c r="A8" t="s">
        <v>61</v>
      </c>
      <c r="B8" s="13">
        <v>42383</v>
      </c>
      <c r="C8" s="11">
        <v>13752</v>
      </c>
      <c r="D8" s="17">
        <v>1.3286083182242734</v>
      </c>
    </row>
    <row r="9" spans="1:4" x14ac:dyDescent="0.25">
      <c r="A9" t="s">
        <v>62</v>
      </c>
      <c r="B9" s="13">
        <v>67581</v>
      </c>
      <c r="C9" s="11">
        <v>25198</v>
      </c>
      <c r="D9" s="17">
        <v>2.7130377451788363</v>
      </c>
    </row>
    <row r="10" spans="1:4" x14ac:dyDescent="0.25">
      <c r="A10" t="s">
        <v>63</v>
      </c>
      <c r="B10" s="13">
        <v>16442</v>
      </c>
      <c r="C10" s="11">
        <v>-51139</v>
      </c>
      <c r="D10" s="17">
        <v>-9.6643041591121373E-2</v>
      </c>
    </row>
    <row r="11" spans="1:4" x14ac:dyDescent="0.25">
      <c r="A11" t="s">
        <v>64</v>
      </c>
      <c r="B11" s="13">
        <v>19111</v>
      </c>
      <c r="C11" s="11">
        <v>2669</v>
      </c>
      <c r="D11" s="17">
        <v>4.9997252898192408E-2</v>
      </c>
    </row>
    <row r="12" spans="1:4" x14ac:dyDescent="0.25">
      <c r="A12" t="s">
        <v>65</v>
      </c>
      <c r="B12" s="13">
        <v>12664</v>
      </c>
      <c r="C12" s="11">
        <v>-6447</v>
      </c>
      <c r="D12" s="17">
        <v>-0.30421405417284764</v>
      </c>
    </row>
    <row r="13" spans="1:4" x14ac:dyDescent="0.25">
      <c r="A13" t="s">
        <v>66</v>
      </c>
      <c r="B13" s="13">
        <v>9198</v>
      </c>
      <c r="C13" s="11">
        <v>-3466</v>
      </c>
      <c r="D13" s="17">
        <v>-0.49464315147519367</v>
      </c>
    </row>
    <row r="14" spans="1:4" x14ac:dyDescent="0.25">
      <c r="A14" t="s">
        <v>67</v>
      </c>
      <c r="B14" s="13">
        <v>40273</v>
      </c>
      <c r="C14" s="11">
        <v>31075</v>
      </c>
      <c r="D14" s="17">
        <v>1.2126806219438493</v>
      </c>
    </row>
    <row r="15" spans="1:4" x14ac:dyDescent="0.25">
      <c r="A15" t="s">
        <v>68</v>
      </c>
      <c r="B15" s="13">
        <v>21131</v>
      </c>
      <c r="C15" s="11">
        <v>-19142</v>
      </c>
      <c r="D15" s="17">
        <v>0.16098016592494918</v>
      </c>
    </row>
    <row r="16" spans="1:4" x14ac:dyDescent="0.25">
      <c r="A16" t="s">
        <v>3</v>
      </c>
      <c r="B16" s="13">
        <v>388528</v>
      </c>
      <c r="C16" s="11"/>
      <c r="D16" s="15"/>
    </row>
  </sheetData>
  <conditionalFormatting pivot="1" sqref="C4:C15">
    <cfRule type="cellIs" dxfId="24" priority="2" operator="lessThan">
      <formula>0</formula>
    </cfRule>
  </conditionalFormatting>
  <conditionalFormatting pivot="1" sqref="D4:D15">
    <cfRule type="cellIs" dxfId="23" priority="1" operator="lessThan">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8B935-8107-4EF2-A739-4307A104EA39}">
  <dimension ref="A1:E26"/>
  <sheetViews>
    <sheetView workbookViewId="0">
      <selection activeCell="C11" sqref="C11"/>
    </sheetView>
  </sheetViews>
  <sheetFormatPr defaultRowHeight="15" x14ac:dyDescent="0.25"/>
  <cols>
    <col min="2" max="2" width="9" bestFit="1" customWidth="1"/>
    <col min="3" max="3" width="14.7109375" bestFit="1" customWidth="1"/>
    <col min="4" max="4" width="9.42578125" bestFit="1" customWidth="1"/>
    <col min="5" max="5" width="8.140625" bestFit="1" customWidth="1"/>
  </cols>
  <sheetData>
    <row r="1" spans="1:5" x14ac:dyDescent="0.25">
      <c r="A1" s="7" t="s">
        <v>72</v>
      </c>
      <c r="B1" s="7" t="s">
        <v>71</v>
      </c>
      <c r="C1" t="s">
        <v>74</v>
      </c>
      <c r="D1" t="s">
        <v>76</v>
      </c>
      <c r="E1" t="s">
        <v>75</v>
      </c>
    </row>
    <row r="2" spans="1:5" x14ac:dyDescent="0.25">
      <c r="A2" t="s">
        <v>37</v>
      </c>
      <c r="B2" t="s">
        <v>57</v>
      </c>
      <c r="C2" s="13">
        <v>18201</v>
      </c>
      <c r="D2" s="15">
        <v>1.5715295927803408E-2</v>
      </c>
      <c r="E2" s="16">
        <v>9</v>
      </c>
    </row>
    <row r="3" spans="1:5" x14ac:dyDescent="0.25">
      <c r="B3" t="s">
        <v>58</v>
      </c>
      <c r="C3" s="13">
        <v>45782</v>
      </c>
      <c r="D3" s="15">
        <v>3.952956860429073E-2</v>
      </c>
      <c r="E3" s="16">
        <v>3</v>
      </c>
    </row>
    <row r="4" spans="1:5" x14ac:dyDescent="0.25">
      <c r="B4" t="s">
        <v>59</v>
      </c>
      <c r="C4" s="13">
        <v>67131</v>
      </c>
      <c r="D4" s="15">
        <v>5.7962943295938166E-2</v>
      </c>
      <c r="E4" s="16">
        <v>2</v>
      </c>
    </row>
    <row r="5" spans="1:5" x14ac:dyDescent="0.25">
      <c r="B5" t="s">
        <v>60</v>
      </c>
      <c r="C5" s="13">
        <v>28631</v>
      </c>
      <c r="D5" s="15">
        <v>2.4720874551340002E-2</v>
      </c>
      <c r="E5" s="16">
        <v>6</v>
      </c>
    </row>
    <row r="6" spans="1:5" x14ac:dyDescent="0.25">
      <c r="B6" t="s">
        <v>61</v>
      </c>
      <c r="C6" s="13">
        <v>42383</v>
      </c>
      <c r="D6" s="15">
        <v>3.6594768820839063E-2</v>
      </c>
      <c r="E6" s="16">
        <v>4</v>
      </c>
    </row>
    <row r="7" spans="1:5" x14ac:dyDescent="0.25">
      <c r="B7" t="s">
        <v>62</v>
      </c>
      <c r="C7" s="13">
        <v>67581</v>
      </c>
      <c r="D7" s="15">
        <v>5.8351486956589309E-2</v>
      </c>
      <c r="E7" s="16">
        <v>1</v>
      </c>
    </row>
    <row r="8" spans="1:5" x14ac:dyDescent="0.25">
      <c r="B8" t="s">
        <v>63</v>
      </c>
      <c r="C8" s="13">
        <v>16442</v>
      </c>
      <c r="D8" s="15">
        <v>1.4196521929835922E-2</v>
      </c>
      <c r="E8" s="16">
        <v>10</v>
      </c>
    </row>
    <row r="9" spans="1:5" x14ac:dyDescent="0.25">
      <c r="B9" t="s">
        <v>64</v>
      </c>
      <c r="C9" s="13">
        <v>19111</v>
      </c>
      <c r="D9" s="15">
        <v>1.6501017552675728E-2</v>
      </c>
      <c r="E9" s="16">
        <v>8</v>
      </c>
    </row>
    <row r="10" spans="1:5" x14ac:dyDescent="0.25">
      <c r="B10" t="s">
        <v>65</v>
      </c>
      <c r="C10" s="13">
        <v>12664</v>
      </c>
      <c r="D10" s="15">
        <v>1.0934482041080289E-2</v>
      </c>
      <c r="E10" s="16">
        <v>11</v>
      </c>
    </row>
    <row r="11" spans="1:5" x14ac:dyDescent="0.25">
      <c r="B11" t="s">
        <v>66</v>
      </c>
      <c r="C11" s="13">
        <v>9198</v>
      </c>
      <c r="D11" s="15">
        <v>7.9418324237094523E-3</v>
      </c>
      <c r="E11" s="16">
        <v>12</v>
      </c>
    </row>
    <row r="12" spans="1:5" x14ac:dyDescent="0.25">
      <c r="B12" t="s">
        <v>67</v>
      </c>
      <c r="C12" s="13">
        <v>40273</v>
      </c>
      <c r="D12" s="15">
        <v>3.4772930767563687E-2</v>
      </c>
      <c r="E12" s="16">
        <v>5</v>
      </c>
    </row>
    <row r="13" spans="1:5" x14ac:dyDescent="0.25">
      <c r="B13" t="s">
        <v>68</v>
      </c>
      <c r="C13" s="13">
        <v>21131</v>
      </c>
      <c r="D13" s="15">
        <v>1.8245146873820877E-2</v>
      </c>
      <c r="E13" s="16">
        <v>7</v>
      </c>
    </row>
    <row r="14" spans="1:5" x14ac:dyDescent="0.25">
      <c r="A14" t="s">
        <v>38</v>
      </c>
      <c r="B14" t="s">
        <v>57</v>
      </c>
      <c r="C14" s="13">
        <v>40602</v>
      </c>
      <c r="D14" s="15">
        <v>3.5056999355017521E-2</v>
      </c>
      <c r="E14" s="16">
        <v>11</v>
      </c>
    </row>
    <row r="15" spans="1:5" x14ac:dyDescent="0.25">
      <c r="B15" t="s">
        <v>58</v>
      </c>
      <c r="C15" s="13">
        <v>58523</v>
      </c>
      <c r="D15" s="15">
        <v>5.0530534782860216E-2</v>
      </c>
      <c r="E15" s="16">
        <v>10</v>
      </c>
    </row>
    <row r="16" spans="1:5" x14ac:dyDescent="0.25">
      <c r="B16" t="s">
        <v>59</v>
      </c>
      <c r="C16" s="13">
        <v>65712</v>
      </c>
      <c r="D16" s="15">
        <v>5.6737735619351547E-2</v>
      </c>
      <c r="E16" s="16">
        <v>8</v>
      </c>
    </row>
    <row r="17" spans="1:5" x14ac:dyDescent="0.25">
      <c r="B17" t="s">
        <v>60</v>
      </c>
      <c r="C17" s="13">
        <v>69169</v>
      </c>
      <c r="D17" s="15">
        <v>5.9722614363509362E-2</v>
      </c>
      <c r="E17" s="16">
        <v>6</v>
      </c>
    </row>
    <row r="18" spans="1:5" x14ac:dyDescent="0.25">
      <c r="B18" t="s">
        <v>61</v>
      </c>
      <c r="C18" s="13">
        <v>67572</v>
      </c>
      <c r="D18" s="15">
        <v>5.8343716083376289E-2</v>
      </c>
      <c r="E18" s="16">
        <v>7</v>
      </c>
    </row>
    <row r="19" spans="1:5" x14ac:dyDescent="0.25">
      <c r="B19" t="s">
        <v>62</v>
      </c>
      <c r="C19" s="13">
        <v>64031</v>
      </c>
      <c r="D19" s="15">
        <v>5.5286309189230262E-2</v>
      </c>
      <c r="E19" s="16">
        <v>9</v>
      </c>
    </row>
    <row r="20" spans="1:5" x14ac:dyDescent="0.25">
      <c r="B20" t="s">
        <v>63</v>
      </c>
      <c r="C20" s="13">
        <v>81432</v>
      </c>
      <c r="D20" s="15">
        <v>7.0310860831431635E-2</v>
      </c>
      <c r="E20" s="16">
        <v>2</v>
      </c>
    </row>
    <row r="21" spans="1:5" x14ac:dyDescent="0.25">
      <c r="B21" t="s">
        <v>64</v>
      </c>
      <c r="C21" s="13">
        <v>71224</v>
      </c>
      <c r="D21" s="15">
        <v>6.1496963747149601E-2</v>
      </c>
      <c r="E21" s="16">
        <v>4</v>
      </c>
    </row>
    <row r="22" spans="1:5" x14ac:dyDescent="0.25">
      <c r="B22" t="s">
        <v>65</v>
      </c>
      <c r="C22" s="13">
        <v>18760</v>
      </c>
      <c r="D22" s="15">
        <v>1.6197953497367832E-2</v>
      </c>
      <c r="E22" s="16">
        <v>12</v>
      </c>
    </row>
    <row r="23" spans="1:5" x14ac:dyDescent="0.25">
      <c r="B23" t="s">
        <v>66</v>
      </c>
      <c r="C23" s="13">
        <v>84326</v>
      </c>
      <c r="D23" s="15">
        <v>7.2809628284597E-2</v>
      </c>
      <c r="E23" s="13">
        <v>1</v>
      </c>
    </row>
    <row r="24" spans="1:5" x14ac:dyDescent="0.25">
      <c r="B24" t="s">
        <v>67</v>
      </c>
      <c r="C24" s="13">
        <v>69175</v>
      </c>
      <c r="D24" s="15">
        <v>5.9727794945651377E-2</v>
      </c>
      <c r="E24" s="13">
        <v>5</v>
      </c>
    </row>
    <row r="25" spans="1:5" x14ac:dyDescent="0.25">
      <c r="B25" t="s">
        <v>68</v>
      </c>
      <c r="C25" s="13">
        <v>79117</v>
      </c>
      <c r="D25" s="15">
        <v>6.8312019554970724E-2</v>
      </c>
      <c r="E25" s="13">
        <v>3</v>
      </c>
    </row>
    <row r="26" spans="1:5" x14ac:dyDescent="0.25">
      <c r="A26" t="s">
        <v>3</v>
      </c>
      <c r="C26" s="13">
        <v>1158171</v>
      </c>
      <c r="D26" s="15">
        <v>1</v>
      </c>
      <c r="E26" s="1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A379D-2F02-40AE-A607-A7C2086A80E2}">
  <dimension ref="A1:J28"/>
  <sheetViews>
    <sheetView workbookViewId="0">
      <selection activeCell="J8" sqref="J8"/>
    </sheetView>
  </sheetViews>
  <sheetFormatPr defaultRowHeight="15" x14ac:dyDescent="0.25"/>
  <cols>
    <col min="1" max="1" width="11.28515625" bestFit="1" customWidth="1"/>
    <col min="2" max="2" width="9" bestFit="1" customWidth="1"/>
    <col min="3" max="4" width="14.7109375" bestFit="1" customWidth="1"/>
    <col min="5" max="5" width="8.140625" bestFit="1" customWidth="1"/>
    <col min="6" max="6" width="10.7109375" bestFit="1" customWidth="1"/>
    <col min="7" max="8" width="13.28515625" bestFit="1" customWidth="1"/>
    <col min="9" max="9" width="9" bestFit="1" customWidth="1"/>
    <col min="10" max="10" width="14.7109375" bestFit="1" customWidth="1"/>
    <col min="11" max="11" width="13.28515625" bestFit="1" customWidth="1"/>
    <col min="12" max="12" width="8.140625" bestFit="1" customWidth="1"/>
  </cols>
  <sheetData>
    <row r="1" spans="1:10" x14ac:dyDescent="0.25">
      <c r="A1" s="7" t="s">
        <v>72</v>
      </c>
      <c r="B1" s="7" t="s">
        <v>71</v>
      </c>
      <c r="C1" t="s">
        <v>74</v>
      </c>
      <c r="D1" t="s">
        <v>73</v>
      </c>
      <c r="E1" t="s">
        <v>69</v>
      </c>
      <c r="F1" t="s">
        <v>70</v>
      </c>
      <c r="H1" s="7" t="s">
        <v>72</v>
      </c>
      <c r="I1" s="7" t="s">
        <v>71</v>
      </c>
      <c r="J1" t="s">
        <v>74</v>
      </c>
    </row>
    <row r="2" spans="1:10" x14ac:dyDescent="0.25">
      <c r="A2" t="s">
        <v>37</v>
      </c>
      <c r="B2" t="s">
        <v>57</v>
      </c>
      <c r="C2" s="13">
        <v>18201</v>
      </c>
      <c r="D2" s="13">
        <v>18201</v>
      </c>
      <c r="E2" s="15">
        <v>4.6846044557921178E-2</v>
      </c>
      <c r="F2" s="15">
        <v>1.5715295927803408E-2</v>
      </c>
      <c r="H2" t="s">
        <v>37</v>
      </c>
      <c r="I2" t="s">
        <v>57</v>
      </c>
      <c r="J2" s="13">
        <v>18201</v>
      </c>
    </row>
    <row r="3" spans="1:10" x14ac:dyDescent="0.25">
      <c r="B3" t="s">
        <v>58</v>
      </c>
      <c r="C3" s="13">
        <v>45782</v>
      </c>
      <c r="D3" s="13">
        <v>45782</v>
      </c>
      <c r="E3" s="15">
        <v>0.11783449326689453</v>
      </c>
      <c r="F3" s="15">
        <v>3.952956860429073E-2</v>
      </c>
      <c r="I3" t="s">
        <v>58</v>
      </c>
      <c r="J3" s="13">
        <v>45782</v>
      </c>
    </row>
    <row r="4" spans="1:10" x14ac:dyDescent="0.25">
      <c r="B4" t="s">
        <v>59</v>
      </c>
      <c r="C4" s="13">
        <v>67131</v>
      </c>
      <c r="D4" s="13">
        <v>67131</v>
      </c>
      <c r="E4" s="15">
        <v>0.17278291397273812</v>
      </c>
      <c r="F4" s="15">
        <v>5.7962943295938166E-2</v>
      </c>
      <c r="I4" t="s">
        <v>59</v>
      </c>
      <c r="J4" s="13">
        <v>67131</v>
      </c>
    </row>
    <row r="5" spans="1:10" x14ac:dyDescent="0.25">
      <c r="B5" t="s">
        <v>60</v>
      </c>
      <c r="C5" s="13">
        <v>28631</v>
      </c>
      <c r="D5" s="13">
        <v>28631</v>
      </c>
      <c r="E5" s="15">
        <v>7.3690956636329949E-2</v>
      </c>
      <c r="F5" s="15">
        <v>2.4720874551340002E-2</v>
      </c>
      <c r="I5" t="s">
        <v>60</v>
      </c>
      <c r="J5" s="13">
        <v>28631</v>
      </c>
    </row>
    <row r="6" spans="1:10" x14ac:dyDescent="0.25">
      <c r="B6" t="s">
        <v>61</v>
      </c>
      <c r="C6" s="13">
        <v>42383</v>
      </c>
      <c r="D6" s="13">
        <v>42383</v>
      </c>
      <c r="E6" s="15">
        <v>0.10908608903348022</v>
      </c>
      <c r="F6" s="15">
        <v>3.6594768820839063E-2</v>
      </c>
      <c r="I6" t="s">
        <v>61</v>
      </c>
      <c r="J6" s="13">
        <v>42383</v>
      </c>
    </row>
    <row r="7" spans="1:10" x14ac:dyDescent="0.25">
      <c r="B7" t="s">
        <v>62</v>
      </c>
      <c r="C7" s="13">
        <v>67581</v>
      </c>
      <c r="D7" s="13">
        <v>67581</v>
      </c>
      <c r="E7" s="15">
        <v>0.17394113165589095</v>
      </c>
      <c r="F7" s="15">
        <v>5.8351486956589309E-2</v>
      </c>
      <c r="I7" t="s">
        <v>62</v>
      </c>
      <c r="J7" s="13">
        <v>67581</v>
      </c>
    </row>
    <row r="8" spans="1:10" x14ac:dyDescent="0.25">
      <c r="B8" t="s">
        <v>63</v>
      </c>
      <c r="C8" s="13">
        <v>16442</v>
      </c>
      <c r="D8" s="13">
        <v>16442</v>
      </c>
      <c r="E8" s="15">
        <v>4.2318700325330479E-2</v>
      </c>
      <c r="F8" s="15">
        <v>1.4196521929835922E-2</v>
      </c>
      <c r="I8" t="s">
        <v>63</v>
      </c>
      <c r="J8" s="13">
        <v>16442</v>
      </c>
    </row>
    <row r="9" spans="1:10" x14ac:dyDescent="0.25">
      <c r="B9" t="s">
        <v>64</v>
      </c>
      <c r="C9" s="13">
        <v>19111</v>
      </c>
      <c r="D9" s="13">
        <v>19111</v>
      </c>
      <c r="E9" s="15">
        <v>4.9188218094963557E-2</v>
      </c>
      <c r="F9" s="15">
        <v>1.6501017552675728E-2</v>
      </c>
      <c r="I9" t="s">
        <v>64</v>
      </c>
      <c r="J9" s="13">
        <v>19111</v>
      </c>
    </row>
    <row r="10" spans="1:10" x14ac:dyDescent="0.25">
      <c r="B10" t="s">
        <v>65</v>
      </c>
      <c r="C10" s="13">
        <v>12664</v>
      </c>
      <c r="D10" s="13">
        <v>12664</v>
      </c>
      <c r="E10" s="15">
        <v>3.2594819420994112E-2</v>
      </c>
      <c r="F10" s="15">
        <v>1.0934482041080289E-2</v>
      </c>
      <c r="I10" t="s">
        <v>65</v>
      </c>
      <c r="J10" s="13">
        <v>12664</v>
      </c>
    </row>
    <row r="11" spans="1:10" x14ac:dyDescent="0.25">
      <c r="B11" t="s">
        <v>66</v>
      </c>
      <c r="C11" s="13">
        <v>9198</v>
      </c>
      <c r="D11" s="13">
        <v>9198</v>
      </c>
      <c r="E11" s="15">
        <v>2.3673969443643701E-2</v>
      </c>
      <c r="F11" s="15">
        <v>7.9418324237094523E-3</v>
      </c>
      <c r="I11" t="s">
        <v>66</v>
      </c>
      <c r="J11" s="13">
        <v>9198</v>
      </c>
    </row>
    <row r="12" spans="1:10" x14ac:dyDescent="0.25">
      <c r="B12" t="s">
        <v>67</v>
      </c>
      <c r="C12" s="13">
        <v>40273</v>
      </c>
      <c r="D12" s="13">
        <v>40273</v>
      </c>
      <c r="E12" s="15">
        <v>0.10365533500803031</v>
      </c>
      <c r="F12" s="15">
        <v>3.4772930767563687E-2</v>
      </c>
      <c r="I12" t="s">
        <v>67</v>
      </c>
      <c r="J12" s="13">
        <v>40273</v>
      </c>
    </row>
    <row r="13" spans="1:10" x14ac:dyDescent="0.25">
      <c r="B13" t="s">
        <v>68</v>
      </c>
      <c r="C13" s="13">
        <v>21131</v>
      </c>
      <c r="D13" s="13">
        <v>21131</v>
      </c>
      <c r="E13" s="15">
        <v>5.4387328583782896E-2</v>
      </c>
      <c r="F13" s="15">
        <v>1.8245146873820877E-2</v>
      </c>
      <c r="I13" t="s">
        <v>68</v>
      </c>
      <c r="J13" s="13">
        <v>21131</v>
      </c>
    </row>
    <row r="14" spans="1:10" x14ac:dyDescent="0.25">
      <c r="A14" t="s">
        <v>51</v>
      </c>
      <c r="C14" s="13">
        <v>388528</v>
      </c>
      <c r="D14" s="13">
        <v>388528</v>
      </c>
      <c r="E14" s="15">
        <v>0.33546686974548662</v>
      </c>
      <c r="F14" s="15">
        <v>0.33546686974548662</v>
      </c>
      <c r="H14" t="s">
        <v>51</v>
      </c>
      <c r="J14" s="13">
        <v>388528</v>
      </c>
    </row>
    <row r="15" spans="1:10" x14ac:dyDescent="0.25">
      <c r="A15" t="s">
        <v>38</v>
      </c>
      <c r="B15" t="s">
        <v>57</v>
      </c>
      <c r="C15" s="13">
        <v>40602</v>
      </c>
      <c r="D15" s="13">
        <v>40602</v>
      </c>
      <c r="E15" s="15">
        <v>5.2754328955112957E-2</v>
      </c>
      <c r="F15" s="15">
        <v>3.5056999355017521E-2</v>
      </c>
      <c r="H15" t="s">
        <v>38</v>
      </c>
      <c r="I15" t="s">
        <v>57</v>
      </c>
      <c r="J15" s="13">
        <v>40602</v>
      </c>
    </row>
    <row r="16" spans="1:10" x14ac:dyDescent="0.25">
      <c r="B16" t="s">
        <v>58</v>
      </c>
      <c r="C16" s="13">
        <v>58523</v>
      </c>
      <c r="D16" s="13">
        <v>58523</v>
      </c>
      <c r="E16" s="15">
        <v>7.6039150619183177E-2</v>
      </c>
      <c r="F16" s="15">
        <v>5.0530534782860216E-2</v>
      </c>
      <c r="I16" t="s">
        <v>58</v>
      </c>
      <c r="J16" s="13">
        <v>58523</v>
      </c>
    </row>
    <row r="17" spans="1:10" x14ac:dyDescent="0.25">
      <c r="B17" t="s">
        <v>59</v>
      </c>
      <c r="C17" s="13">
        <v>65712</v>
      </c>
      <c r="D17" s="13">
        <v>65712</v>
      </c>
      <c r="E17" s="15">
        <v>8.5379844941096072E-2</v>
      </c>
      <c r="F17" s="15">
        <v>5.6737735619351547E-2</v>
      </c>
      <c r="I17" t="s">
        <v>59</v>
      </c>
      <c r="J17" s="13">
        <v>65712</v>
      </c>
    </row>
    <row r="18" spans="1:10" x14ac:dyDescent="0.25">
      <c r="B18" t="s">
        <v>60</v>
      </c>
      <c r="C18" s="13">
        <v>69169</v>
      </c>
      <c r="D18" s="13">
        <v>69169</v>
      </c>
      <c r="E18" s="15">
        <v>8.9871537842870011E-2</v>
      </c>
      <c r="F18" s="15">
        <v>5.9722614363509362E-2</v>
      </c>
      <c r="I18" t="s">
        <v>60</v>
      </c>
      <c r="J18" s="13">
        <v>69169</v>
      </c>
    </row>
    <row r="19" spans="1:10" x14ac:dyDescent="0.25">
      <c r="B19" t="s">
        <v>61</v>
      </c>
      <c r="C19" s="13">
        <v>67572</v>
      </c>
      <c r="D19" s="13">
        <v>67572</v>
      </c>
      <c r="E19" s="15">
        <v>8.7796549828946663E-2</v>
      </c>
      <c r="F19" s="15">
        <v>5.8343716083376289E-2</v>
      </c>
      <c r="I19" t="s">
        <v>61</v>
      </c>
      <c r="J19" s="13">
        <v>67572</v>
      </c>
    </row>
    <row r="20" spans="1:10" x14ac:dyDescent="0.25">
      <c r="B20" t="s">
        <v>62</v>
      </c>
      <c r="C20" s="13">
        <v>64031</v>
      </c>
      <c r="D20" s="13">
        <v>64031</v>
      </c>
      <c r="E20" s="15">
        <v>8.3195715416108512E-2</v>
      </c>
      <c r="F20" s="15">
        <v>5.5286309189230262E-2</v>
      </c>
      <c r="I20" t="s">
        <v>62</v>
      </c>
      <c r="J20" s="13">
        <v>64031</v>
      </c>
    </row>
    <row r="21" spans="1:10" x14ac:dyDescent="0.25">
      <c r="B21" t="s">
        <v>63</v>
      </c>
      <c r="C21" s="13">
        <v>81432</v>
      </c>
      <c r="D21" s="13">
        <v>81432</v>
      </c>
      <c r="E21" s="15">
        <v>0.10580489915454308</v>
      </c>
      <c r="F21" s="15">
        <v>7.0310860831431635E-2</v>
      </c>
      <c r="I21" t="s">
        <v>63</v>
      </c>
      <c r="J21" s="13">
        <v>81432</v>
      </c>
    </row>
    <row r="22" spans="1:10" x14ac:dyDescent="0.25">
      <c r="B22" t="s">
        <v>64</v>
      </c>
      <c r="C22" s="13">
        <v>71224</v>
      </c>
      <c r="D22" s="13">
        <v>71224</v>
      </c>
      <c r="E22" s="15">
        <v>9.2541606952833977E-2</v>
      </c>
      <c r="F22" s="15">
        <v>6.1496963747149601E-2</v>
      </c>
      <c r="I22" t="s">
        <v>64</v>
      </c>
      <c r="J22" s="13">
        <v>71224</v>
      </c>
    </row>
    <row r="23" spans="1:10" x14ac:dyDescent="0.25">
      <c r="B23" t="s">
        <v>65</v>
      </c>
      <c r="C23" s="13">
        <v>18760</v>
      </c>
      <c r="D23" s="13">
        <v>18760</v>
      </c>
      <c r="E23" s="15">
        <v>2.4374937471009286E-2</v>
      </c>
      <c r="F23" s="15">
        <v>1.6197953497367832E-2</v>
      </c>
      <c r="I23" t="s">
        <v>65</v>
      </c>
      <c r="J23" s="13">
        <v>18760</v>
      </c>
    </row>
    <row r="24" spans="1:10" x14ac:dyDescent="0.25">
      <c r="B24" t="s">
        <v>66</v>
      </c>
      <c r="C24" s="13">
        <v>84326</v>
      </c>
      <c r="D24" s="13">
        <v>84326</v>
      </c>
      <c r="E24" s="15">
        <v>0.10956508407144611</v>
      </c>
      <c r="F24" s="15">
        <v>7.2809628284597E-2</v>
      </c>
      <c r="I24" t="s">
        <v>66</v>
      </c>
      <c r="J24" s="13">
        <v>84326</v>
      </c>
    </row>
    <row r="25" spans="1:10" x14ac:dyDescent="0.25">
      <c r="B25" t="s">
        <v>67</v>
      </c>
      <c r="C25" s="13">
        <v>69175</v>
      </c>
      <c r="D25" s="13">
        <v>69175</v>
      </c>
      <c r="E25" s="15">
        <v>8.9879333665088879E-2</v>
      </c>
      <c r="F25" s="15">
        <v>5.9727794945651377E-2</v>
      </c>
      <c r="I25" t="s">
        <v>67</v>
      </c>
      <c r="J25" s="13">
        <v>69175</v>
      </c>
    </row>
    <row r="26" spans="1:10" x14ac:dyDescent="0.25">
      <c r="B26" t="s">
        <v>68</v>
      </c>
      <c r="C26" s="13">
        <v>79117</v>
      </c>
      <c r="D26" s="13">
        <v>79117</v>
      </c>
      <c r="E26" s="15">
        <v>0.10279701108176129</v>
      </c>
      <c r="F26" s="15">
        <v>6.8312019554970724E-2</v>
      </c>
      <c r="I26" t="s">
        <v>68</v>
      </c>
      <c r="J26" s="13">
        <v>79117</v>
      </c>
    </row>
    <row r="27" spans="1:10" x14ac:dyDescent="0.25">
      <c r="A27" t="s">
        <v>52</v>
      </c>
      <c r="C27" s="13">
        <v>769643</v>
      </c>
      <c r="D27" s="13">
        <v>769643</v>
      </c>
      <c r="E27" s="15">
        <v>0.66453313025451333</v>
      </c>
      <c r="F27" s="15">
        <v>0.66453313025451333</v>
      </c>
      <c r="H27" t="s">
        <v>52</v>
      </c>
      <c r="J27" s="13">
        <v>769643</v>
      </c>
    </row>
    <row r="28" spans="1:10" x14ac:dyDescent="0.25">
      <c r="A28" t="s">
        <v>3</v>
      </c>
      <c r="C28" s="13">
        <v>1158171</v>
      </c>
      <c r="D28" s="13">
        <v>1158171</v>
      </c>
      <c r="E28" s="15">
        <v>1</v>
      </c>
      <c r="F28" s="15">
        <v>1</v>
      </c>
      <c r="H28" t="s">
        <v>3</v>
      </c>
      <c r="J28" s="13">
        <v>1158171</v>
      </c>
    </row>
  </sheetData>
  <conditionalFormatting pivot="1" sqref="D2:D13 D15:D26">
    <cfRule type="dataBar" priority="2">
      <dataBar showValue="0">
        <cfvo type="min"/>
        <cfvo type="max"/>
        <color rgb="FF63C384"/>
      </dataBar>
      <extLst>
        <ext xmlns:x14="http://schemas.microsoft.com/office/spreadsheetml/2009/9/main" uri="{B025F937-C7B1-47D3-B67F-A62EFF666E3E}">
          <x14:id>{50CE08F1-0120-480C-A723-F0ADB3E88EB2}</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50CE08F1-0120-480C-A723-F0ADB3E88EB2}">
            <x14:dataBar minLength="0" maxLength="100" border="1" negativeBarBorderColorSameAsPositive="0">
              <x14:cfvo type="autoMin"/>
              <x14:cfvo type="autoMax"/>
              <x14:borderColor rgb="FF63C384"/>
              <x14:negativeFillColor rgb="FFFF0000"/>
              <x14:negativeBorderColor rgb="FFFF0000"/>
              <x14:axisColor rgb="FF000000"/>
            </x14:dataBar>
          </x14:cfRule>
          <xm:sqref>D2:D13 D15:D26</xm:sqref>
        </x14:conditionalFormatting>
      </x14:conditionalFormattings>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4DA00-E55B-4F7E-8805-100C1D9DCD8F}">
  <dimension ref="A1:L19"/>
  <sheetViews>
    <sheetView workbookViewId="0">
      <selection activeCell="D13" sqref="A1:K20"/>
    </sheetView>
  </sheetViews>
  <sheetFormatPr defaultRowHeight="15" x14ac:dyDescent="0.25"/>
  <cols>
    <col min="1" max="1" width="21.5703125" bestFit="1" customWidth="1"/>
    <col min="2" max="2" width="16.85546875" bestFit="1" customWidth="1"/>
    <col min="3" max="3" width="13.28515625" bestFit="1" customWidth="1"/>
    <col min="4" max="5" width="12.140625" bestFit="1" customWidth="1"/>
    <col min="6" max="11" width="13.28515625" bestFit="1" customWidth="1"/>
    <col min="12" max="12" width="14.7109375" bestFit="1" customWidth="1"/>
  </cols>
  <sheetData>
    <row r="1" spans="1:12" x14ac:dyDescent="0.25">
      <c r="A1" s="7" t="s">
        <v>34</v>
      </c>
      <c r="B1" s="7" t="s">
        <v>35</v>
      </c>
    </row>
    <row r="2" spans="1:12" x14ac:dyDescent="0.25">
      <c r="B2" t="s">
        <v>37</v>
      </c>
      <c r="F2" t="s">
        <v>51</v>
      </c>
      <c r="G2" t="s">
        <v>38</v>
      </c>
      <c r="K2" t="s">
        <v>52</v>
      </c>
      <c r="L2" t="s">
        <v>3</v>
      </c>
    </row>
    <row r="3" spans="1:12" x14ac:dyDescent="0.25">
      <c r="A3" s="7" t="s">
        <v>2</v>
      </c>
      <c r="B3" t="s">
        <v>53</v>
      </c>
      <c r="C3" t="s">
        <v>54</v>
      </c>
      <c r="D3" t="s">
        <v>55</v>
      </c>
      <c r="E3" t="s">
        <v>56</v>
      </c>
      <c r="G3" t="s">
        <v>53</v>
      </c>
      <c r="H3" t="s">
        <v>54</v>
      </c>
      <c r="I3" t="s">
        <v>55</v>
      </c>
      <c r="J3" t="s">
        <v>56</v>
      </c>
    </row>
    <row r="4" spans="1:12" x14ac:dyDescent="0.25">
      <c r="A4" s="8" t="s">
        <v>19</v>
      </c>
      <c r="B4" s="13">
        <v>6624</v>
      </c>
      <c r="C4" s="13">
        <v>5760</v>
      </c>
      <c r="D4" s="13"/>
      <c r="E4" s="13"/>
      <c r="F4" s="13">
        <v>12384</v>
      </c>
      <c r="G4" s="13">
        <v>6048</v>
      </c>
      <c r="H4" s="13">
        <v>8064</v>
      </c>
      <c r="I4" s="13"/>
      <c r="J4" s="13">
        <v>8528</v>
      </c>
      <c r="K4" s="13">
        <v>22640</v>
      </c>
      <c r="L4" s="13">
        <v>35024</v>
      </c>
    </row>
    <row r="5" spans="1:12" x14ac:dyDescent="0.25">
      <c r="A5" s="8" t="s">
        <v>18</v>
      </c>
      <c r="B5" s="13">
        <v>9282</v>
      </c>
      <c r="C5" s="13">
        <v>6630</v>
      </c>
      <c r="D5" s="13"/>
      <c r="E5" s="13"/>
      <c r="F5" s="13">
        <v>15912</v>
      </c>
      <c r="G5" s="13">
        <v>5304</v>
      </c>
      <c r="H5" s="13">
        <v>17238</v>
      </c>
      <c r="I5" s="13"/>
      <c r="J5" s="13">
        <v>12894</v>
      </c>
      <c r="K5" s="13">
        <v>35436</v>
      </c>
      <c r="L5" s="13">
        <v>51348</v>
      </c>
    </row>
    <row r="6" spans="1:12" x14ac:dyDescent="0.25">
      <c r="A6" s="8" t="s">
        <v>20</v>
      </c>
      <c r="B6" s="13">
        <v>14393</v>
      </c>
      <c r="C6" s="13">
        <v>6613</v>
      </c>
      <c r="D6" s="13"/>
      <c r="E6" s="13"/>
      <c r="F6" s="13">
        <v>21006</v>
      </c>
      <c r="G6" s="13">
        <v>5057</v>
      </c>
      <c r="H6" s="13">
        <v>6613</v>
      </c>
      <c r="I6" s="13"/>
      <c r="J6" s="13">
        <v>6580</v>
      </c>
      <c r="K6" s="13">
        <v>18250</v>
      </c>
      <c r="L6" s="13">
        <v>39256</v>
      </c>
    </row>
    <row r="7" spans="1:12" x14ac:dyDescent="0.25">
      <c r="A7" s="8" t="s">
        <v>27</v>
      </c>
      <c r="B7" s="13"/>
      <c r="C7" s="13">
        <v>5646</v>
      </c>
      <c r="D7" s="13">
        <v>5150</v>
      </c>
      <c r="E7" s="13">
        <v>12178</v>
      </c>
      <c r="F7" s="13">
        <v>22974</v>
      </c>
      <c r="G7" s="13">
        <v>11487</v>
      </c>
      <c r="H7" s="13">
        <v>10300</v>
      </c>
      <c r="I7" s="13">
        <v>22868</v>
      </c>
      <c r="J7" s="13">
        <v>27635</v>
      </c>
      <c r="K7" s="13">
        <v>72290</v>
      </c>
      <c r="L7" s="13">
        <v>95264</v>
      </c>
    </row>
    <row r="8" spans="1:12" x14ac:dyDescent="0.25">
      <c r="A8" s="8" t="s">
        <v>28</v>
      </c>
      <c r="B8" s="13">
        <v>16698</v>
      </c>
      <c r="C8" s="13">
        <v>10120</v>
      </c>
      <c r="D8" s="13">
        <v>2530</v>
      </c>
      <c r="E8" s="13"/>
      <c r="F8" s="13">
        <v>29348</v>
      </c>
      <c r="G8" s="13">
        <v>19228</v>
      </c>
      <c r="H8" s="13">
        <v>11132</v>
      </c>
      <c r="I8" s="13">
        <v>18216</v>
      </c>
      <c r="J8" s="13">
        <v>13617</v>
      </c>
      <c r="K8" s="13">
        <v>62193</v>
      </c>
      <c r="L8" s="13">
        <v>91541</v>
      </c>
    </row>
    <row r="9" spans="1:12" x14ac:dyDescent="0.25">
      <c r="A9" s="8" t="s">
        <v>30</v>
      </c>
      <c r="B9" s="13"/>
      <c r="C9" s="13">
        <v>7476</v>
      </c>
      <c r="D9" s="13">
        <v>4272</v>
      </c>
      <c r="E9" s="13">
        <v>3738</v>
      </c>
      <c r="F9" s="13">
        <v>15486</v>
      </c>
      <c r="G9" s="13">
        <v>14952</v>
      </c>
      <c r="H9" s="13">
        <v>4272</v>
      </c>
      <c r="I9" s="13">
        <v>9612</v>
      </c>
      <c r="J9" s="13">
        <v>7529</v>
      </c>
      <c r="K9" s="13">
        <v>36365</v>
      </c>
      <c r="L9" s="13">
        <v>51851</v>
      </c>
    </row>
    <row r="10" spans="1:12" x14ac:dyDescent="0.25">
      <c r="A10" s="8" t="s">
        <v>17</v>
      </c>
      <c r="B10" s="13">
        <v>2871</v>
      </c>
      <c r="C10" s="13">
        <v>11654</v>
      </c>
      <c r="D10" s="13">
        <v>420</v>
      </c>
      <c r="E10" s="13">
        <v>5460</v>
      </c>
      <c r="F10" s="13">
        <v>20405</v>
      </c>
      <c r="G10" s="13">
        <v>15370</v>
      </c>
      <c r="H10" s="13">
        <v>14881</v>
      </c>
      <c r="I10" s="13">
        <v>7980</v>
      </c>
      <c r="J10" s="13">
        <v>22237</v>
      </c>
      <c r="K10" s="13">
        <v>60468</v>
      </c>
      <c r="L10" s="13">
        <v>80873</v>
      </c>
    </row>
    <row r="11" spans="1:12" x14ac:dyDescent="0.25">
      <c r="A11" s="8" t="s">
        <v>21</v>
      </c>
      <c r="B11" s="13">
        <v>8925</v>
      </c>
      <c r="C11" s="13">
        <v>1785</v>
      </c>
      <c r="D11" s="13">
        <v>1785</v>
      </c>
      <c r="E11" s="13"/>
      <c r="F11" s="13">
        <v>12495</v>
      </c>
      <c r="G11" s="13">
        <v>1785</v>
      </c>
      <c r="H11" s="13">
        <v>12495</v>
      </c>
      <c r="I11" s="13"/>
      <c r="J11" s="13">
        <v>8116</v>
      </c>
      <c r="K11" s="13">
        <v>22396</v>
      </c>
      <c r="L11" s="13">
        <v>34891</v>
      </c>
    </row>
    <row r="12" spans="1:12" x14ac:dyDescent="0.25">
      <c r="A12" s="8" t="s">
        <v>23</v>
      </c>
      <c r="B12" s="13">
        <v>4470</v>
      </c>
      <c r="C12" s="13">
        <v>7152</v>
      </c>
      <c r="D12" s="13">
        <v>2682</v>
      </c>
      <c r="E12" s="13"/>
      <c r="F12" s="13">
        <v>14304</v>
      </c>
      <c r="G12" s="13">
        <v>5662</v>
      </c>
      <c r="H12" s="13">
        <v>8642</v>
      </c>
      <c r="I12" s="13">
        <v>2384</v>
      </c>
      <c r="J12" s="13">
        <v>6952</v>
      </c>
      <c r="K12" s="13">
        <v>23640</v>
      </c>
      <c r="L12" s="13">
        <v>37944</v>
      </c>
    </row>
    <row r="13" spans="1:12" x14ac:dyDescent="0.25">
      <c r="A13" s="8" t="s">
        <v>25</v>
      </c>
      <c r="B13" s="13">
        <v>23217</v>
      </c>
      <c r="C13" s="13">
        <v>21320</v>
      </c>
      <c r="D13" s="13">
        <v>7284</v>
      </c>
      <c r="E13" s="13">
        <v>25036</v>
      </c>
      <c r="F13" s="13">
        <v>76857</v>
      </c>
      <c r="G13" s="13">
        <v>26100</v>
      </c>
      <c r="H13" s="13">
        <v>16881</v>
      </c>
      <c r="I13" s="13">
        <v>31638</v>
      </c>
      <c r="J13" s="13">
        <v>33965</v>
      </c>
      <c r="K13" s="13">
        <v>108584</v>
      </c>
      <c r="L13" s="13">
        <v>185441</v>
      </c>
    </row>
    <row r="14" spans="1:12" x14ac:dyDescent="0.25">
      <c r="A14" s="8" t="s">
        <v>22</v>
      </c>
      <c r="B14" s="13">
        <v>15840</v>
      </c>
      <c r="C14" s="13">
        <v>15180</v>
      </c>
      <c r="D14" s="13">
        <v>1980</v>
      </c>
      <c r="E14" s="13"/>
      <c r="F14" s="13">
        <v>33000</v>
      </c>
      <c r="G14" s="13">
        <v>11220</v>
      </c>
      <c r="H14" s="13">
        <v>31680</v>
      </c>
      <c r="I14" s="13">
        <v>9240</v>
      </c>
      <c r="J14" s="13">
        <v>11508</v>
      </c>
      <c r="K14" s="13">
        <v>63648</v>
      </c>
      <c r="L14" s="13">
        <v>96648</v>
      </c>
    </row>
    <row r="15" spans="1:12" x14ac:dyDescent="0.25">
      <c r="A15" s="8" t="s">
        <v>29</v>
      </c>
      <c r="B15" s="13"/>
      <c r="C15" s="13">
        <v>5096</v>
      </c>
      <c r="D15" s="13">
        <v>14896</v>
      </c>
      <c r="E15" s="13">
        <v>4459</v>
      </c>
      <c r="F15" s="13">
        <v>24451</v>
      </c>
      <c r="G15" s="13">
        <v>4900</v>
      </c>
      <c r="H15" s="13">
        <v>5047</v>
      </c>
      <c r="I15" s="13">
        <v>23128</v>
      </c>
      <c r="J15" s="13">
        <v>27311</v>
      </c>
      <c r="K15" s="13">
        <v>60386</v>
      </c>
      <c r="L15" s="13">
        <v>84837</v>
      </c>
    </row>
    <row r="16" spans="1:12" x14ac:dyDescent="0.25">
      <c r="A16" s="8" t="s">
        <v>16</v>
      </c>
      <c r="B16" s="13">
        <v>6048</v>
      </c>
      <c r="C16" s="13">
        <v>10080</v>
      </c>
      <c r="D16" s="13"/>
      <c r="E16" s="13"/>
      <c r="F16" s="13">
        <v>16128</v>
      </c>
      <c r="G16" s="13">
        <v>9576</v>
      </c>
      <c r="H16" s="13">
        <v>16128</v>
      </c>
      <c r="I16" s="13"/>
      <c r="J16" s="13">
        <v>9084</v>
      </c>
      <c r="K16" s="13">
        <v>34788</v>
      </c>
      <c r="L16" s="13">
        <v>50916</v>
      </c>
    </row>
    <row r="17" spans="1:12" x14ac:dyDescent="0.25">
      <c r="A17" s="8" t="s">
        <v>24</v>
      </c>
      <c r="B17" s="13">
        <v>22746</v>
      </c>
      <c r="C17" s="13">
        <v>14049</v>
      </c>
      <c r="D17" s="13">
        <v>2007</v>
      </c>
      <c r="E17" s="13"/>
      <c r="F17" s="13">
        <v>38802</v>
      </c>
      <c r="G17" s="13">
        <v>6690</v>
      </c>
      <c r="H17" s="13">
        <v>27429</v>
      </c>
      <c r="I17" s="13">
        <v>10035</v>
      </c>
      <c r="J17" s="13">
        <v>4425</v>
      </c>
      <c r="K17" s="13">
        <v>48579</v>
      </c>
      <c r="L17" s="13">
        <v>87381</v>
      </c>
    </row>
    <row r="18" spans="1:12" x14ac:dyDescent="0.25">
      <c r="A18" s="8" t="s">
        <v>26</v>
      </c>
      <c r="B18" s="13"/>
      <c r="C18" s="13">
        <v>10034</v>
      </c>
      <c r="D18" s="13">
        <v>5211</v>
      </c>
      <c r="E18" s="13">
        <v>19731</v>
      </c>
      <c r="F18" s="13">
        <v>34976</v>
      </c>
      <c r="G18" s="13">
        <v>21458</v>
      </c>
      <c r="H18" s="13">
        <v>9970</v>
      </c>
      <c r="I18" s="13">
        <v>36315</v>
      </c>
      <c r="J18" s="13">
        <v>32237</v>
      </c>
      <c r="K18" s="13">
        <v>99980</v>
      </c>
      <c r="L18" s="13">
        <v>134956</v>
      </c>
    </row>
    <row r="19" spans="1:12" x14ac:dyDescent="0.25">
      <c r="A19" s="8" t="s">
        <v>3</v>
      </c>
      <c r="B19" s="13">
        <v>131114</v>
      </c>
      <c r="C19" s="13">
        <v>138595</v>
      </c>
      <c r="D19" s="13">
        <v>48217</v>
      </c>
      <c r="E19" s="13">
        <v>70602</v>
      </c>
      <c r="F19" s="13">
        <v>388528</v>
      </c>
      <c r="G19" s="13">
        <v>164837</v>
      </c>
      <c r="H19" s="13">
        <v>200772</v>
      </c>
      <c r="I19" s="13">
        <v>171416</v>
      </c>
      <c r="J19" s="13">
        <v>232618</v>
      </c>
      <c r="K19" s="13">
        <v>769643</v>
      </c>
      <c r="L19" s="13">
        <v>1158171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23FE7-2DB7-4E54-9522-B5C7D987369A}">
  <dimension ref="A1:F8"/>
  <sheetViews>
    <sheetView workbookViewId="0">
      <selection activeCell="B43" sqref="B43"/>
    </sheetView>
  </sheetViews>
  <sheetFormatPr defaultRowHeight="15" x14ac:dyDescent="0.25"/>
  <cols>
    <col min="1" max="1" width="16.5703125" bestFit="1" customWidth="1"/>
    <col min="2" max="2" width="16.85546875" bestFit="1" customWidth="1"/>
    <col min="3" max="5" width="13.28515625" bestFit="1" customWidth="1"/>
    <col min="6" max="6" width="14.7109375" bestFit="1" customWidth="1"/>
  </cols>
  <sheetData>
    <row r="1" spans="1:6" x14ac:dyDescent="0.25">
      <c r="A1" s="7" t="s">
        <v>34</v>
      </c>
      <c r="B1" s="7" t="s">
        <v>35</v>
      </c>
    </row>
    <row r="2" spans="1:6" x14ac:dyDescent="0.25">
      <c r="A2" s="7" t="s">
        <v>2</v>
      </c>
      <c r="B2" t="s">
        <v>1</v>
      </c>
      <c r="C2" t="s">
        <v>5</v>
      </c>
      <c r="D2" t="s">
        <v>6</v>
      </c>
      <c r="E2" t="s">
        <v>4</v>
      </c>
      <c r="F2" t="s">
        <v>3</v>
      </c>
    </row>
    <row r="3" spans="1:6" x14ac:dyDescent="0.25">
      <c r="A3" s="8" t="s">
        <v>9</v>
      </c>
      <c r="B3" s="13">
        <v>12987</v>
      </c>
      <c r="C3" s="13">
        <v>20493</v>
      </c>
      <c r="D3" s="13">
        <v>78414</v>
      </c>
      <c r="E3" s="13">
        <v>113863</v>
      </c>
      <c r="F3" s="13">
        <v>225757</v>
      </c>
    </row>
    <row r="4" spans="1:6" x14ac:dyDescent="0.25">
      <c r="A4" s="8" t="s">
        <v>8</v>
      </c>
      <c r="B4" s="13">
        <v>83218</v>
      </c>
      <c r="C4" s="13">
        <v>37403</v>
      </c>
      <c r="D4" s="13">
        <v>40372</v>
      </c>
      <c r="E4" s="13">
        <v>50370</v>
      </c>
      <c r="F4" s="13">
        <v>211363</v>
      </c>
    </row>
    <row r="5" spans="1:6" x14ac:dyDescent="0.25">
      <c r="A5" s="8" t="s">
        <v>11</v>
      </c>
      <c r="B5" s="13">
        <v>166370</v>
      </c>
      <c r="C5" s="13">
        <v>115352</v>
      </c>
      <c r="D5" s="13">
        <v>17111</v>
      </c>
      <c r="E5" s="13">
        <v>32366</v>
      </c>
      <c r="F5" s="13">
        <v>331199</v>
      </c>
    </row>
    <row r="6" spans="1:6" x14ac:dyDescent="0.25">
      <c r="A6" s="8" t="s">
        <v>7</v>
      </c>
      <c r="B6" s="13">
        <v>41600</v>
      </c>
      <c r="C6" s="13">
        <v>35762</v>
      </c>
      <c r="D6" s="13">
        <v>93828</v>
      </c>
      <c r="E6" s="13">
        <v>13309</v>
      </c>
      <c r="F6" s="13">
        <v>184499</v>
      </c>
    </row>
    <row r="7" spans="1:6" x14ac:dyDescent="0.25">
      <c r="A7" s="8" t="s">
        <v>10</v>
      </c>
      <c r="B7" s="13">
        <v>43558</v>
      </c>
      <c r="C7" s="13">
        <v>44952</v>
      </c>
      <c r="D7" s="13">
        <v>7795</v>
      </c>
      <c r="E7" s="13">
        <v>109048</v>
      </c>
      <c r="F7" s="13">
        <v>205353</v>
      </c>
    </row>
    <row r="8" spans="1:6" x14ac:dyDescent="0.25">
      <c r="A8" s="8" t="s">
        <v>3</v>
      </c>
      <c r="B8" s="13">
        <v>347733</v>
      </c>
      <c r="C8" s="13">
        <v>253962</v>
      </c>
      <c r="D8" s="13">
        <v>237520</v>
      </c>
      <c r="E8" s="13">
        <v>318956</v>
      </c>
      <c r="F8" s="13">
        <v>1158171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772C8-2B48-4381-AB68-F1770B5299BF}">
  <dimension ref="A1:D6"/>
  <sheetViews>
    <sheetView workbookViewId="0">
      <selection activeCell="B4" sqref="B4"/>
    </sheetView>
  </sheetViews>
  <sheetFormatPr defaultRowHeight="15" x14ac:dyDescent="0.25"/>
  <cols>
    <col min="1" max="1" width="13.42578125" bestFit="1" customWidth="1"/>
    <col min="2" max="2" width="16.5703125" bestFit="1" customWidth="1"/>
    <col min="3" max="4" width="13.28515625" bestFit="1" customWidth="1"/>
    <col min="5" max="5" width="16.7109375" bestFit="1" customWidth="1"/>
  </cols>
  <sheetData>
    <row r="1" spans="1:4" x14ac:dyDescent="0.25">
      <c r="A1" s="7" t="s">
        <v>2</v>
      </c>
      <c r="B1" t="s">
        <v>34</v>
      </c>
      <c r="C1" t="s">
        <v>47</v>
      </c>
      <c r="D1" t="s">
        <v>45</v>
      </c>
    </row>
    <row r="2" spans="1:4" x14ac:dyDescent="0.25">
      <c r="A2" s="8" t="s">
        <v>1</v>
      </c>
      <c r="B2" s="13">
        <v>347733</v>
      </c>
      <c r="C2" s="13">
        <v>0</v>
      </c>
      <c r="D2" s="13">
        <v>97961</v>
      </c>
    </row>
    <row r="3" spans="1:4" x14ac:dyDescent="0.25">
      <c r="A3" s="8" t="s">
        <v>5</v>
      </c>
      <c r="B3" s="13">
        <v>253962</v>
      </c>
      <c r="C3" s="13">
        <v>0</v>
      </c>
      <c r="D3" s="13">
        <v>77469</v>
      </c>
    </row>
    <row r="4" spans="1:4" x14ac:dyDescent="0.25">
      <c r="A4" s="8" t="s">
        <v>6</v>
      </c>
      <c r="B4" s="13">
        <v>237520</v>
      </c>
      <c r="C4" s="13">
        <v>0</v>
      </c>
      <c r="D4" s="13">
        <v>65434</v>
      </c>
    </row>
    <row r="5" spans="1:4" x14ac:dyDescent="0.25">
      <c r="A5" s="8" t="s">
        <v>4</v>
      </c>
      <c r="B5" s="13">
        <v>318956</v>
      </c>
      <c r="C5" s="13">
        <v>0</v>
      </c>
      <c r="D5" s="13">
        <v>90096</v>
      </c>
    </row>
    <row r="6" spans="1:4" x14ac:dyDescent="0.25">
      <c r="A6" s="8" t="s">
        <v>3</v>
      </c>
      <c r="B6" s="13">
        <v>1158171</v>
      </c>
      <c r="C6" s="13">
        <v>0</v>
      </c>
      <c r="D6" s="13">
        <v>330960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2C364-682F-4AC8-A80A-4E897C294C81}">
  <dimension ref="A3:E27"/>
  <sheetViews>
    <sheetView workbookViewId="0">
      <selection activeCell="A23" sqref="A21:E27"/>
    </sheetView>
  </sheetViews>
  <sheetFormatPr defaultRowHeight="15" x14ac:dyDescent="0.25"/>
  <cols>
    <col min="1" max="1" width="13.42578125" bestFit="1" customWidth="1"/>
    <col min="2" max="2" width="10.85546875" bestFit="1" customWidth="1"/>
    <col min="3" max="3" width="11.140625" bestFit="1" customWidth="1"/>
    <col min="4" max="4" width="11.28515625" bestFit="1" customWidth="1"/>
    <col min="5" max="5" width="13.7109375" bestFit="1" customWidth="1"/>
    <col min="6" max="6" width="13.28515625" bestFit="1" customWidth="1"/>
    <col min="7" max="7" width="14" bestFit="1" customWidth="1"/>
    <col min="8" max="88" width="10.140625" bestFit="1" customWidth="1"/>
    <col min="89" max="89" width="16.5703125" bestFit="1" customWidth="1"/>
    <col min="90" max="175" width="10.140625" bestFit="1" customWidth="1"/>
    <col min="176" max="176" width="15.85546875" bestFit="1" customWidth="1"/>
    <col min="177" max="177" width="21.7109375" bestFit="1" customWidth="1"/>
  </cols>
  <sheetData>
    <row r="3" spans="1:4" x14ac:dyDescent="0.25">
      <c r="A3" s="7" t="s">
        <v>2</v>
      </c>
      <c r="B3" t="s">
        <v>33</v>
      </c>
    </row>
    <row r="4" spans="1:4" x14ac:dyDescent="0.25">
      <c r="A4" s="8" t="s">
        <v>1</v>
      </c>
      <c r="B4" s="11">
        <v>748</v>
      </c>
    </row>
    <row r="5" spans="1:4" x14ac:dyDescent="0.25">
      <c r="A5" s="8" t="s">
        <v>5</v>
      </c>
      <c r="B5" s="11">
        <v>571</v>
      </c>
    </row>
    <row r="6" spans="1:4" x14ac:dyDescent="0.25">
      <c r="A6" s="8" t="s">
        <v>6</v>
      </c>
      <c r="B6" s="11">
        <v>530</v>
      </c>
    </row>
    <row r="7" spans="1:4" x14ac:dyDescent="0.25">
      <c r="A7" s="8" t="s">
        <v>4</v>
      </c>
      <c r="B7" s="11">
        <v>654</v>
      </c>
    </row>
    <row r="8" spans="1:4" x14ac:dyDescent="0.25">
      <c r="A8" s="8" t="s">
        <v>3</v>
      </c>
      <c r="B8" s="11">
        <v>2503</v>
      </c>
    </row>
    <row r="12" spans="1:4" x14ac:dyDescent="0.25">
      <c r="A12" s="7" t="s">
        <v>42</v>
      </c>
      <c r="B12" s="7" t="s">
        <v>40</v>
      </c>
    </row>
    <row r="13" spans="1:4" x14ac:dyDescent="0.25">
      <c r="A13" s="7" t="s">
        <v>41</v>
      </c>
      <c r="B13" t="s">
        <v>37</v>
      </c>
      <c r="C13" t="s">
        <v>38</v>
      </c>
      <c r="D13" t="s">
        <v>3</v>
      </c>
    </row>
    <row r="14" spans="1:4" x14ac:dyDescent="0.25">
      <c r="A14" s="8" t="s">
        <v>1</v>
      </c>
      <c r="B14" s="13">
        <v>5782.545454545455</v>
      </c>
      <c r="C14" s="13">
        <v>5512.9250000000002</v>
      </c>
      <c r="D14" s="13">
        <v>5608.5967741935483</v>
      </c>
    </row>
    <row r="15" spans="1:4" x14ac:dyDescent="0.25">
      <c r="A15" s="8" t="s">
        <v>5</v>
      </c>
      <c r="B15" s="13">
        <v>4135.8</v>
      </c>
      <c r="C15" s="13">
        <v>5351.4375</v>
      </c>
      <c r="D15" s="13">
        <v>4883.8846153846152</v>
      </c>
    </row>
    <row r="16" spans="1:4" x14ac:dyDescent="0.25">
      <c r="A16" s="8" t="s">
        <v>6</v>
      </c>
      <c r="B16" s="13">
        <v>4780.666666666667</v>
      </c>
      <c r="C16" s="13">
        <v>5717.5862068965516</v>
      </c>
      <c r="D16" s="13">
        <v>5398.181818181818</v>
      </c>
    </row>
    <row r="17" spans="1:5" x14ac:dyDescent="0.25">
      <c r="A17" s="8" t="s">
        <v>4</v>
      </c>
      <c r="B17" s="13">
        <v>4453.583333333333</v>
      </c>
      <c r="C17" s="13">
        <v>5580.7894736842109</v>
      </c>
      <c r="D17" s="13">
        <v>5144.4516129032254</v>
      </c>
    </row>
    <row r="18" spans="1:5" x14ac:dyDescent="0.25">
      <c r="A18" s="8" t="s">
        <v>3</v>
      </c>
      <c r="B18" s="13">
        <v>4796.641975308642</v>
      </c>
      <c r="C18" s="13">
        <v>5537</v>
      </c>
      <c r="D18" s="13">
        <v>5264.4136363636362</v>
      </c>
    </row>
    <row r="21" spans="1:5" x14ac:dyDescent="0.25">
      <c r="A21" s="7" t="s">
        <v>2</v>
      </c>
      <c r="B21" t="s">
        <v>44</v>
      </c>
      <c r="C21" t="s">
        <v>39</v>
      </c>
      <c r="D21" t="s">
        <v>45</v>
      </c>
      <c r="E21" t="s">
        <v>46</v>
      </c>
    </row>
    <row r="22" spans="1:5" x14ac:dyDescent="0.25">
      <c r="A22" s="8" t="s">
        <v>9</v>
      </c>
      <c r="B22" s="11">
        <v>466</v>
      </c>
      <c r="C22" s="13">
        <v>225757</v>
      </c>
      <c r="D22" s="13">
        <v>67548</v>
      </c>
      <c r="E22" s="11">
        <v>43</v>
      </c>
    </row>
    <row r="23" spans="1:5" x14ac:dyDescent="0.25">
      <c r="A23" s="8" t="s">
        <v>8</v>
      </c>
      <c r="B23" s="11">
        <v>474</v>
      </c>
      <c r="C23" s="13">
        <v>211363</v>
      </c>
      <c r="D23" s="13">
        <v>62492</v>
      </c>
      <c r="E23" s="11">
        <v>45</v>
      </c>
    </row>
    <row r="24" spans="1:5" x14ac:dyDescent="0.25">
      <c r="A24" s="8" t="s">
        <v>11</v>
      </c>
      <c r="B24" s="11">
        <v>749</v>
      </c>
      <c r="C24" s="13">
        <v>331199</v>
      </c>
      <c r="D24" s="13">
        <v>97824</v>
      </c>
      <c r="E24" s="11">
        <v>65</v>
      </c>
    </row>
    <row r="25" spans="1:5" x14ac:dyDescent="0.25">
      <c r="A25" s="8" t="s">
        <v>7</v>
      </c>
      <c r="B25" s="11">
        <v>357</v>
      </c>
      <c r="C25" s="13">
        <v>184499</v>
      </c>
      <c r="D25" s="13">
        <v>51741</v>
      </c>
      <c r="E25" s="11">
        <v>30</v>
      </c>
    </row>
    <row r="26" spans="1:5" x14ac:dyDescent="0.25">
      <c r="A26" s="8" t="s">
        <v>10</v>
      </c>
      <c r="B26" s="11">
        <v>457</v>
      </c>
      <c r="C26" s="13">
        <v>205353</v>
      </c>
      <c r="D26" s="13">
        <v>51355</v>
      </c>
      <c r="E26" s="11">
        <v>37</v>
      </c>
    </row>
    <row r="27" spans="1:5" x14ac:dyDescent="0.25">
      <c r="A27" s="8" t="s">
        <v>3</v>
      </c>
      <c r="B27" s="11">
        <v>2503</v>
      </c>
      <c r="C27" s="13">
        <v>1158171</v>
      </c>
      <c r="D27" s="13">
        <v>330960</v>
      </c>
      <c r="E27" s="11">
        <v>220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8CEE7-687B-4C7D-B4D7-109E0D940271}">
  <dimension ref="A1:I221"/>
  <sheetViews>
    <sheetView topLeftCell="A176" workbookViewId="0">
      <selection activeCell="A165" sqref="A165:G221"/>
    </sheetView>
  </sheetViews>
  <sheetFormatPr defaultColWidth="11.42578125" defaultRowHeight="15" x14ac:dyDescent="0.25"/>
  <cols>
    <col min="1" max="1" width="12.7109375" bestFit="1" customWidth="1"/>
    <col min="2" max="2" width="21.140625" bestFit="1" customWidth="1"/>
    <col min="5" max="7" width="11.7109375" customWidth="1"/>
    <col min="9" max="9" width="11.42578125" customWidth="1"/>
  </cols>
  <sheetData>
    <row r="1" spans="1:9" x14ac:dyDescent="0.25">
      <c r="A1" s="1" t="s">
        <v>12</v>
      </c>
      <c r="B1" s="2" t="s">
        <v>0</v>
      </c>
      <c r="C1" s="2" t="s">
        <v>36</v>
      </c>
      <c r="D1" s="2" t="s">
        <v>43</v>
      </c>
      <c r="E1" s="2" t="s">
        <v>13</v>
      </c>
      <c r="F1" s="2" t="s">
        <v>14</v>
      </c>
      <c r="G1" s="2" t="s">
        <v>15</v>
      </c>
      <c r="H1" t="s">
        <v>31</v>
      </c>
      <c r="I1" t="s">
        <v>32</v>
      </c>
    </row>
    <row r="2" spans="1:9" x14ac:dyDescent="0.25">
      <c r="A2" s="3">
        <v>44806</v>
      </c>
      <c r="B2" s="4" t="s">
        <v>17</v>
      </c>
      <c r="C2" s="4" t="s">
        <v>6</v>
      </c>
      <c r="D2" s="4" t="s">
        <v>9</v>
      </c>
      <c r="E2" s="4">
        <v>8</v>
      </c>
      <c r="F2" s="4">
        <v>300</v>
      </c>
      <c r="G2" s="4">
        <f>INT(F2*1.4)</f>
        <v>420</v>
      </c>
      <c r="H2" s="10">
        <f>tbl_Sales[[#This Row],[Qty]]*tbl_Sales[[#This Row],[Unit price]]</f>
        <v>3360</v>
      </c>
      <c r="I2" s="10">
        <f>(tbl_Sales[[#This Row],[Unit price]]-tbl_Sales[[#This Row],[Unit cost]])*tbl_Sales[[#This Row],[Qty]]</f>
        <v>960</v>
      </c>
    </row>
    <row r="3" spans="1:9" x14ac:dyDescent="0.25">
      <c r="A3" s="3">
        <v>44806</v>
      </c>
      <c r="B3" s="4" t="s">
        <v>29</v>
      </c>
      <c r="C3" s="4" t="s">
        <v>6</v>
      </c>
      <c r="D3" s="4" t="s">
        <v>7</v>
      </c>
      <c r="E3" s="4">
        <v>20</v>
      </c>
      <c r="F3" s="4">
        <v>385</v>
      </c>
      <c r="G3" s="4">
        <f>INT(F3*1.4)</f>
        <v>539</v>
      </c>
      <c r="H3" s="10">
        <f>tbl_Sales[[#This Row],[Qty]]*tbl_Sales[[#This Row],[Unit price]]</f>
        <v>10780</v>
      </c>
      <c r="I3" s="10">
        <f>(tbl_Sales[[#This Row],[Unit price]]-tbl_Sales[[#This Row],[Unit cost]])*tbl_Sales[[#This Row],[Qty]]</f>
        <v>3080</v>
      </c>
    </row>
    <row r="4" spans="1:9" x14ac:dyDescent="0.25">
      <c r="A4" s="3">
        <v>44806</v>
      </c>
      <c r="B4" s="4" t="s">
        <v>17</v>
      </c>
      <c r="C4" s="4" t="s">
        <v>1</v>
      </c>
      <c r="D4" s="4" t="s">
        <v>11</v>
      </c>
      <c r="E4" s="4">
        <v>11</v>
      </c>
      <c r="F4" s="4">
        <v>300</v>
      </c>
      <c r="G4" s="4">
        <f>INT(F4*1.4)</f>
        <v>420</v>
      </c>
      <c r="H4" s="10">
        <f>tbl_Sales[[#This Row],[Qty]]*tbl_Sales[[#This Row],[Unit price]]</f>
        <v>4620</v>
      </c>
      <c r="I4" s="10">
        <f>(tbl_Sales[[#This Row],[Unit price]]-tbl_Sales[[#This Row],[Unit cost]])*tbl_Sales[[#This Row],[Qty]]</f>
        <v>1320</v>
      </c>
    </row>
    <row r="5" spans="1:9" x14ac:dyDescent="0.25">
      <c r="A5" s="3">
        <v>44800</v>
      </c>
      <c r="B5" s="4" t="s">
        <v>30</v>
      </c>
      <c r="C5" s="4" t="s">
        <v>5</v>
      </c>
      <c r="D5" s="4" t="s">
        <v>11</v>
      </c>
      <c r="E5" s="4">
        <v>13</v>
      </c>
      <c r="F5" s="4">
        <v>382</v>
      </c>
      <c r="G5" s="4">
        <f>INT(F5*1.4)</f>
        <v>534</v>
      </c>
      <c r="H5" s="10">
        <f>tbl_Sales[[#This Row],[Qty]]*tbl_Sales[[#This Row],[Unit price]]</f>
        <v>6942</v>
      </c>
      <c r="I5" s="10">
        <f>(tbl_Sales[[#This Row],[Unit price]]-tbl_Sales[[#This Row],[Unit cost]])*tbl_Sales[[#This Row],[Qty]]</f>
        <v>1976</v>
      </c>
    </row>
    <row r="6" spans="1:9" x14ac:dyDescent="0.25">
      <c r="A6" s="3">
        <v>44800</v>
      </c>
      <c r="B6" s="4" t="s">
        <v>27</v>
      </c>
      <c r="C6" s="4" t="s">
        <v>4</v>
      </c>
      <c r="D6" s="4" t="s">
        <v>9</v>
      </c>
      <c r="E6" s="4">
        <v>14</v>
      </c>
      <c r="F6" s="4">
        <v>270</v>
      </c>
      <c r="G6" s="4">
        <f>INT(F6*1.4)</f>
        <v>378</v>
      </c>
      <c r="H6" s="10">
        <f>tbl_Sales[[#This Row],[Qty]]*tbl_Sales[[#This Row],[Unit price]]</f>
        <v>5292</v>
      </c>
      <c r="I6" s="10">
        <f>(tbl_Sales[[#This Row],[Unit price]]-tbl_Sales[[#This Row],[Unit cost]])*tbl_Sales[[#This Row],[Qty]]</f>
        <v>1512</v>
      </c>
    </row>
    <row r="7" spans="1:9" x14ac:dyDescent="0.25">
      <c r="A7" s="3">
        <v>44800</v>
      </c>
      <c r="B7" s="4" t="s">
        <v>30</v>
      </c>
      <c r="C7" s="4" t="s">
        <v>1</v>
      </c>
      <c r="D7" s="4" t="s">
        <v>11</v>
      </c>
      <c r="E7" s="4">
        <v>5</v>
      </c>
      <c r="F7" s="4">
        <v>382</v>
      </c>
      <c r="G7" s="4">
        <f>INT(F7*1.4)</f>
        <v>534</v>
      </c>
      <c r="H7" s="10">
        <f>tbl_Sales[[#This Row],[Qty]]*tbl_Sales[[#This Row],[Unit price]]</f>
        <v>2670</v>
      </c>
      <c r="I7" s="10">
        <f>(tbl_Sales[[#This Row],[Unit price]]-tbl_Sales[[#This Row],[Unit cost]])*tbl_Sales[[#This Row],[Qty]]</f>
        <v>760</v>
      </c>
    </row>
    <row r="8" spans="1:9" x14ac:dyDescent="0.25">
      <c r="A8" s="3">
        <v>44794</v>
      </c>
      <c r="B8" s="4" t="s">
        <v>29</v>
      </c>
      <c r="C8" s="4" t="s">
        <v>1</v>
      </c>
      <c r="D8" s="4" t="s">
        <v>11</v>
      </c>
      <c r="E8" s="4">
        <v>10</v>
      </c>
      <c r="F8" s="4">
        <v>105</v>
      </c>
      <c r="G8" s="4">
        <f>INT(F8*1.4)</f>
        <v>147</v>
      </c>
      <c r="H8" s="10">
        <f>tbl_Sales[[#This Row],[Qty]]*tbl_Sales[[#This Row],[Unit price]]</f>
        <v>1470</v>
      </c>
      <c r="I8" s="10">
        <f>(tbl_Sales[[#This Row],[Unit price]]-tbl_Sales[[#This Row],[Unit cost]])*tbl_Sales[[#This Row],[Qty]]</f>
        <v>420</v>
      </c>
    </row>
    <row r="9" spans="1:9" x14ac:dyDescent="0.25">
      <c r="A9" s="3">
        <v>44794</v>
      </c>
      <c r="B9" s="4" t="s">
        <v>27</v>
      </c>
      <c r="C9" s="4" t="s">
        <v>6</v>
      </c>
      <c r="D9" s="4" t="s">
        <v>9</v>
      </c>
      <c r="E9" s="4">
        <v>21</v>
      </c>
      <c r="F9" s="4">
        <v>224</v>
      </c>
      <c r="G9" s="4">
        <f>INT(F9*1.4)</f>
        <v>313</v>
      </c>
      <c r="H9" s="10">
        <f>tbl_Sales[[#This Row],[Qty]]*tbl_Sales[[#This Row],[Unit price]]</f>
        <v>6573</v>
      </c>
      <c r="I9" s="10">
        <f>(tbl_Sales[[#This Row],[Unit price]]-tbl_Sales[[#This Row],[Unit cost]])*tbl_Sales[[#This Row],[Qty]]</f>
        <v>1869</v>
      </c>
    </row>
    <row r="10" spans="1:9" x14ac:dyDescent="0.25">
      <c r="A10" s="3">
        <v>44794</v>
      </c>
      <c r="B10" s="4" t="s">
        <v>29</v>
      </c>
      <c r="C10" s="4" t="s">
        <v>4</v>
      </c>
      <c r="D10" s="4" t="s">
        <v>10</v>
      </c>
      <c r="E10" s="4">
        <v>19</v>
      </c>
      <c r="F10" s="4">
        <v>105</v>
      </c>
      <c r="G10" s="4">
        <f>INT(F10*1.4)</f>
        <v>147</v>
      </c>
      <c r="H10" s="10">
        <f>tbl_Sales[[#This Row],[Qty]]*tbl_Sales[[#This Row],[Unit price]]</f>
        <v>2793</v>
      </c>
      <c r="I10" s="10">
        <f>(tbl_Sales[[#This Row],[Unit price]]-tbl_Sales[[#This Row],[Unit cost]])*tbl_Sales[[#This Row],[Qty]]</f>
        <v>798</v>
      </c>
    </row>
    <row r="11" spans="1:9" x14ac:dyDescent="0.25">
      <c r="A11" s="3">
        <v>44788</v>
      </c>
      <c r="B11" s="4" t="s">
        <v>29</v>
      </c>
      <c r="C11" s="4" t="s">
        <v>1</v>
      </c>
      <c r="D11" s="4" t="s">
        <v>8</v>
      </c>
      <c r="E11" s="4">
        <v>15</v>
      </c>
      <c r="F11" s="4">
        <v>385</v>
      </c>
      <c r="G11" s="4">
        <f>INT(F11*1.4)</f>
        <v>539</v>
      </c>
      <c r="H11" s="10">
        <f>tbl_Sales[[#This Row],[Qty]]*tbl_Sales[[#This Row],[Unit price]]</f>
        <v>8085</v>
      </c>
      <c r="I11" s="10">
        <f>(tbl_Sales[[#This Row],[Unit price]]-tbl_Sales[[#This Row],[Unit cost]])*tbl_Sales[[#This Row],[Qty]]</f>
        <v>2310</v>
      </c>
    </row>
    <row r="12" spans="1:9" x14ac:dyDescent="0.25">
      <c r="A12" s="3">
        <v>44788</v>
      </c>
      <c r="B12" s="4" t="s">
        <v>26</v>
      </c>
      <c r="C12" s="4" t="s">
        <v>4</v>
      </c>
      <c r="D12" s="4" t="s">
        <v>9</v>
      </c>
      <c r="E12" s="4">
        <v>8</v>
      </c>
      <c r="F12" s="4">
        <v>427</v>
      </c>
      <c r="G12" s="4">
        <f>INT(F12*1.4)</f>
        <v>597</v>
      </c>
      <c r="H12" s="10">
        <f>tbl_Sales[[#This Row],[Qty]]*tbl_Sales[[#This Row],[Unit price]]</f>
        <v>4776</v>
      </c>
      <c r="I12" s="10">
        <f>(tbl_Sales[[#This Row],[Unit price]]-tbl_Sales[[#This Row],[Unit cost]])*tbl_Sales[[#This Row],[Qty]]</f>
        <v>1360</v>
      </c>
    </row>
    <row r="13" spans="1:9" x14ac:dyDescent="0.25">
      <c r="A13" s="3">
        <v>44782</v>
      </c>
      <c r="B13" s="4" t="s">
        <v>27</v>
      </c>
      <c r="C13" s="4" t="s">
        <v>1</v>
      </c>
      <c r="D13" s="4" t="s">
        <v>11</v>
      </c>
      <c r="E13" s="4">
        <v>20</v>
      </c>
      <c r="F13" s="4">
        <v>270</v>
      </c>
      <c r="G13" s="4">
        <f>INT(F13*1.4)</f>
        <v>378</v>
      </c>
      <c r="H13" s="10">
        <f>tbl_Sales[[#This Row],[Qty]]*tbl_Sales[[#This Row],[Unit price]]</f>
        <v>7560</v>
      </c>
      <c r="I13" s="10">
        <f>(tbl_Sales[[#This Row],[Unit price]]-tbl_Sales[[#This Row],[Unit cost]])*tbl_Sales[[#This Row],[Qty]]</f>
        <v>2160</v>
      </c>
    </row>
    <row r="14" spans="1:9" x14ac:dyDescent="0.25">
      <c r="A14" s="3">
        <v>44782</v>
      </c>
      <c r="B14" s="4" t="s">
        <v>26</v>
      </c>
      <c r="C14" s="4" t="s">
        <v>5</v>
      </c>
      <c r="D14" s="4" t="s">
        <v>11</v>
      </c>
      <c r="E14" s="4">
        <v>23</v>
      </c>
      <c r="F14" s="4">
        <v>265</v>
      </c>
      <c r="G14" s="4">
        <f>INT(F14*1.4)</f>
        <v>371</v>
      </c>
      <c r="H14" s="10">
        <f>tbl_Sales[[#This Row],[Qty]]*tbl_Sales[[#This Row],[Unit price]]</f>
        <v>8533</v>
      </c>
      <c r="I14" s="10">
        <f>(tbl_Sales[[#This Row],[Unit price]]-tbl_Sales[[#This Row],[Unit cost]])*tbl_Sales[[#This Row],[Qty]]</f>
        <v>2438</v>
      </c>
    </row>
    <row r="15" spans="1:9" x14ac:dyDescent="0.25">
      <c r="A15" s="3">
        <v>44776</v>
      </c>
      <c r="B15" s="4" t="s">
        <v>27</v>
      </c>
      <c r="C15" s="4" t="s">
        <v>6</v>
      </c>
      <c r="D15" s="4" t="s">
        <v>9</v>
      </c>
      <c r="E15" s="4">
        <v>11</v>
      </c>
      <c r="F15" s="4">
        <v>224</v>
      </c>
      <c r="G15" s="4">
        <f>INT(F15*1.4)</f>
        <v>313</v>
      </c>
      <c r="H15" s="10">
        <f>tbl_Sales[[#This Row],[Qty]]*tbl_Sales[[#This Row],[Unit price]]</f>
        <v>3443</v>
      </c>
      <c r="I15" s="10">
        <f>(tbl_Sales[[#This Row],[Unit price]]-tbl_Sales[[#This Row],[Unit cost]])*tbl_Sales[[#This Row],[Qty]]</f>
        <v>979</v>
      </c>
    </row>
    <row r="16" spans="1:9" x14ac:dyDescent="0.25">
      <c r="A16" s="3">
        <v>44776</v>
      </c>
      <c r="B16" s="4" t="s">
        <v>25</v>
      </c>
      <c r="C16" s="4" t="s">
        <v>6</v>
      </c>
      <c r="D16" s="4" t="s">
        <v>7</v>
      </c>
      <c r="E16" s="4">
        <v>23</v>
      </c>
      <c r="F16" s="4">
        <v>407</v>
      </c>
      <c r="G16" s="4">
        <f>INT(F16*1.4)</f>
        <v>569</v>
      </c>
      <c r="H16" s="10">
        <f>tbl_Sales[[#This Row],[Qty]]*tbl_Sales[[#This Row],[Unit price]]</f>
        <v>13087</v>
      </c>
      <c r="I16" s="10">
        <f>(tbl_Sales[[#This Row],[Unit price]]-tbl_Sales[[#This Row],[Unit cost]])*tbl_Sales[[#This Row],[Qty]]</f>
        <v>3726</v>
      </c>
    </row>
    <row r="17" spans="1:9" x14ac:dyDescent="0.25">
      <c r="A17" s="3">
        <v>44770</v>
      </c>
      <c r="B17" s="4" t="s">
        <v>26</v>
      </c>
      <c r="C17" s="4" t="s">
        <v>4</v>
      </c>
      <c r="D17" s="4" t="s">
        <v>9</v>
      </c>
      <c r="E17" s="4">
        <v>23</v>
      </c>
      <c r="F17" s="4">
        <v>427</v>
      </c>
      <c r="G17" s="4">
        <f>INT(F17*1.4)</f>
        <v>597</v>
      </c>
      <c r="H17" s="10">
        <f>tbl_Sales[[#This Row],[Qty]]*tbl_Sales[[#This Row],[Unit price]]</f>
        <v>13731</v>
      </c>
      <c r="I17" s="10">
        <f>(tbl_Sales[[#This Row],[Unit price]]-tbl_Sales[[#This Row],[Unit cost]])*tbl_Sales[[#This Row],[Qty]]</f>
        <v>3910</v>
      </c>
    </row>
    <row r="18" spans="1:9" x14ac:dyDescent="0.25">
      <c r="A18" s="3">
        <v>44770</v>
      </c>
      <c r="B18" s="4" t="s">
        <v>25</v>
      </c>
      <c r="C18" s="4" t="s">
        <v>1</v>
      </c>
      <c r="D18" s="4" t="s">
        <v>11</v>
      </c>
      <c r="E18" s="4">
        <v>19</v>
      </c>
      <c r="F18" s="4">
        <v>434</v>
      </c>
      <c r="G18" s="4">
        <f>INT(F18*1.4)</f>
        <v>607</v>
      </c>
      <c r="H18" s="10">
        <f>tbl_Sales[[#This Row],[Qty]]*tbl_Sales[[#This Row],[Unit price]]</f>
        <v>11533</v>
      </c>
      <c r="I18" s="10">
        <f>(tbl_Sales[[#This Row],[Unit price]]-tbl_Sales[[#This Row],[Unit cost]])*tbl_Sales[[#This Row],[Qty]]</f>
        <v>3287</v>
      </c>
    </row>
    <row r="19" spans="1:9" x14ac:dyDescent="0.25">
      <c r="A19" s="3">
        <v>44764</v>
      </c>
      <c r="B19" s="4" t="s">
        <v>26</v>
      </c>
      <c r="C19" s="4" t="s">
        <v>5</v>
      </c>
      <c r="D19" s="4" t="s">
        <v>11</v>
      </c>
      <c r="E19" s="4">
        <v>25</v>
      </c>
      <c r="F19" s="4">
        <v>265</v>
      </c>
      <c r="G19" s="4">
        <f>INT(F19*1.4)</f>
        <v>371</v>
      </c>
      <c r="H19" s="10">
        <f>tbl_Sales[[#This Row],[Qty]]*tbl_Sales[[#This Row],[Unit price]]</f>
        <v>9275</v>
      </c>
      <c r="I19" s="10">
        <f>(tbl_Sales[[#This Row],[Unit price]]-tbl_Sales[[#This Row],[Unit cost]])*tbl_Sales[[#This Row],[Qty]]</f>
        <v>2650</v>
      </c>
    </row>
    <row r="20" spans="1:9" x14ac:dyDescent="0.25">
      <c r="A20" s="3">
        <v>44764</v>
      </c>
      <c r="B20" s="4" t="s">
        <v>28</v>
      </c>
      <c r="C20" s="4" t="s">
        <v>1</v>
      </c>
      <c r="D20" s="4" t="s">
        <v>8</v>
      </c>
      <c r="E20" s="4">
        <v>23</v>
      </c>
      <c r="F20" s="4">
        <v>362</v>
      </c>
      <c r="G20" s="4">
        <f>INT(F20*1.4)</f>
        <v>506</v>
      </c>
      <c r="H20" s="10">
        <f>tbl_Sales[[#This Row],[Qty]]*tbl_Sales[[#This Row],[Unit price]]</f>
        <v>11638</v>
      </c>
      <c r="I20" s="10">
        <f>(tbl_Sales[[#This Row],[Unit price]]-tbl_Sales[[#This Row],[Unit cost]])*tbl_Sales[[#This Row],[Qty]]</f>
        <v>3312</v>
      </c>
    </row>
    <row r="21" spans="1:9" x14ac:dyDescent="0.25">
      <c r="A21" s="3">
        <v>44758</v>
      </c>
      <c r="B21" s="4" t="s">
        <v>25</v>
      </c>
      <c r="C21" s="4" t="s">
        <v>6</v>
      </c>
      <c r="D21" s="4" t="s">
        <v>7</v>
      </c>
      <c r="E21" s="4">
        <v>7</v>
      </c>
      <c r="F21" s="4">
        <v>407</v>
      </c>
      <c r="G21" s="4">
        <f>INT(F21*1.4)</f>
        <v>569</v>
      </c>
      <c r="H21" s="10">
        <f>tbl_Sales[[#This Row],[Qty]]*tbl_Sales[[#This Row],[Unit price]]</f>
        <v>3983</v>
      </c>
      <c r="I21" s="10">
        <f>(tbl_Sales[[#This Row],[Unit price]]-tbl_Sales[[#This Row],[Unit cost]])*tbl_Sales[[#This Row],[Qty]]</f>
        <v>1134</v>
      </c>
    </row>
    <row r="22" spans="1:9" x14ac:dyDescent="0.25">
      <c r="A22" s="3">
        <v>44758</v>
      </c>
      <c r="B22" s="4" t="s">
        <v>24</v>
      </c>
      <c r="C22" s="4" t="s">
        <v>1</v>
      </c>
      <c r="D22" s="4" t="s">
        <v>11</v>
      </c>
      <c r="E22" s="4">
        <v>15</v>
      </c>
      <c r="F22" s="4">
        <v>478</v>
      </c>
      <c r="G22" s="4">
        <f>INT(F22*1.4)</f>
        <v>669</v>
      </c>
      <c r="H22" s="10">
        <f>tbl_Sales[[#This Row],[Qty]]*tbl_Sales[[#This Row],[Unit price]]</f>
        <v>10035</v>
      </c>
      <c r="I22" s="10">
        <f>(tbl_Sales[[#This Row],[Unit price]]-tbl_Sales[[#This Row],[Unit cost]])*tbl_Sales[[#This Row],[Qty]]</f>
        <v>2865</v>
      </c>
    </row>
    <row r="23" spans="1:9" x14ac:dyDescent="0.25">
      <c r="A23" s="3">
        <v>44752</v>
      </c>
      <c r="B23" s="4" t="s">
        <v>25</v>
      </c>
      <c r="C23" s="4" t="s">
        <v>5</v>
      </c>
      <c r="D23" s="4" t="s">
        <v>11</v>
      </c>
      <c r="E23" s="4">
        <v>5</v>
      </c>
      <c r="F23" s="4">
        <v>434</v>
      </c>
      <c r="G23" s="4">
        <f>INT(F23*1.4)</f>
        <v>607</v>
      </c>
      <c r="H23" s="10">
        <f>tbl_Sales[[#This Row],[Qty]]*tbl_Sales[[#This Row],[Unit price]]</f>
        <v>3035</v>
      </c>
      <c r="I23" s="10">
        <f>(tbl_Sales[[#This Row],[Unit price]]-tbl_Sales[[#This Row],[Unit cost]])*tbl_Sales[[#This Row],[Qty]]</f>
        <v>865</v>
      </c>
    </row>
    <row r="24" spans="1:9" x14ac:dyDescent="0.25">
      <c r="A24" s="3">
        <v>44752</v>
      </c>
      <c r="B24" s="4" t="s">
        <v>23</v>
      </c>
      <c r="C24" s="4" t="s">
        <v>4</v>
      </c>
      <c r="D24" s="4" t="s">
        <v>8</v>
      </c>
      <c r="E24" s="4">
        <v>8</v>
      </c>
      <c r="F24" s="4">
        <v>213</v>
      </c>
      <c r="G24" s="4">
        <f>INT(F24*1.4)</f>
        <v>298</v>
      </c>
      <c r="H24" s="10">
        <f>tbl_Sales[[#This Row],[Qty]]*tbl_Sales[[#This Row],[Unit price]]</f>
        <v>2384</v>
      </c>
      <c r="I24" s="10">
        <f>(tbl_Sales[[#This Row],[Unit price]]-tbl_Sales[[#This Row],[Unit cost]])*tbl_Sales[[#This Row],[Qty]]</f>
        <v>680</v>
      </c>
    </row>
    <row r="25" spans="1:9" x14ac:dyDescent="0.25">
      <c r="A25" s="3">
        <v>44746</v>
      </c>
      <c r="B25" s="4" t="s">
        <v>28</v>
      </c>
      <c r="C25" s="4" t="s">
        <v>6</v>
      </c>
      <c r="D25" s="4" t="s">
        <v>9</v>
      </c>
      <c r="E25" s="4">
        <v>13</v>
      </c>
      <c r="F25" s="4">
        <v>362</v>
      </c>
      <c r="G25" s="4">
        <f>INT(F25*1.4)</f>
        <v>506</v>
      </c>
      <c r="H25" s="10">
        <f>tbl_Sales[[#This Row],[Qty]]*tbl_Sales[[#This Row],[Unit price]]</f>
        <v>6578</v>
      </c>
      <c r="I25" s="10">
        <f>(tbl_Sales[[#This Row],[Unit price]]-tbl_Sales[[#This Row],[Unit cost]])*tbl_Sales[[#This Row],[Qty]]</f>
        <v>1872</v>
      </c>
    </row>
    <row r="26" spans="1:9" x14ac:dyDescent="0.25">
      <c r="A26" s="3">
        <v>44746</v>
      </c>
      <c r="B26" s="4" t="s">
        <v>22</v>
      </c>
      <c r="C26" s="4" t="s">
        <v>4</v>
      </c>
      <c r="D26" s="4" t="s">
        <v>10</v>
      </c>
      <c r="E26" s="4">
        <v>14</v>
      </c>
      <c r="F26" s="4">
        <v>472</v>
      </c>
      <c r="G26" s="4">
        <f>INT(F26*1.4)</f>
        <v>660</v>
      </c>
      <c r="H26" s="10">
        <f>tbl_Sales[[#This Row],[Qty]]*tbl_Sales[[#This Row],[Unit price]]</f>
        <v>9240</v>
      </c>
      <c r="I26" s="10">
        <f>(tbl_Sales[[#This Row],[Unit price]]-tbl_Sales[[#This Row],[Unit cost]])*tbl_Sales[[#This Row],[Qty]]</f>
        <v>2632</v>
      </c>
    </row>
    <row r="27" spans="1:9" x14ac:dyDescent="0.25">
      <c r="A27" s="3">
        <v>44740</v>
      </c>
      <c r="B27" s="4" t="s">
        <v>24</v>
      </c>
      <c r="C27" s="4" t="s">
        <v>4</v>
      </c>
      <c r="D27" s="4" t="s">
        <v>9</v>
      </c>
      <c r="E27" s="4">
        <v>21</v>
      </c>
      <c r="F27" s="4">
        <v>478</v>
      </c>
      <c r="G27" s="4">
        <f>INT(F27*1.4)</f>
        <v>669</v>
      </c>
      <c r="H27" s="10">
        <f>tbl_Sales[[#This Row],[Qty]]*tbl_Sales[[#This Row],[Unit price]]</f>
        <v>14049</v>
      </c>
      <c r="I27" s="10">
        <f>(tbl_Sales[[#This Row],[Unit price]]-tbl_Sales[[#This Row],[Unit cost]])*tbl_Sales[[#This Row],[Qty]]</f>
        <v>4011</v>
      </c>
    </row>
    <row r="28" spans="1:9" x14ac:dyDescent="0.25">
      <c r="A28" s="3">
        <v>44740</v>
      </c>
      <c r="B28" s="4" t="s">
        <v>21</v>
      </c>
      <c r="C28" s="4" t="s">
        <v>1</v>
      </c>
      <c r="D28" s="4" t="s">
        <v>11</v>
      </c>
      <c r="E28" s="4">
        <v>19</v>
      </c>
      <c r="F28" s="4">
        <v>255</v>
      </c>
      <c r="G28" s="4">
        <f>INT(F28*1.4)</f>
        <v>357</v>
      </c>
      <c r="H28" s="10">
        <f>tbl_Sales[[#This Row],[Qty]]*tbl_Sales[[#This Row],[Unit price]]</f>
        <v>6783</v>
      </c>
      <c r="I28" s="10">
        <f>(tbl_Sales[[#This Row],[Unit price]]-tbl_Sales[[#This Row],[Unit cost]])*tbl_Sales[[#This Row],[Qty]]</f>
        <v>1938</v>
      </c>
    </row>
    <row r="29" spans="1:9" x14ac:dyDescent="0.25">
      <c r="A29" s="3">
        <v>44734</v>
      </c>
      <c r="B29" s="4" t="s">
        <v>23</v>
      </c>
      <c r="C29" s="4" t="s">
        <v>5</v>
      </c>
      <c r="D29" s="4" t="s">
        <v>11</v>
      </c>
      <c r="E29" s="4">
        <v>8</v>
      </c>
      <c r="F29" s="4">
        <v>213</v>
      </c>
      <c r="G29" s="4">
        <f>INT(F29*1.4)</f>
        <v>298</v>
      </c>
      <c r="H29" s="10">
        <f>tbl_Sales[[#This Row],[Qty]]*tbl_Sales[[#This Row],[Unit price]]</f>
        <v>2384</v>
      </c>
      <c r="I29" s="10">
        <f>(tbl_Sales[[#This Row],[Unit price]]-tbl_Sales[[#This Row],[Unit cost]])*tbl_Sales[[#This Row],[Qty]]</f>
        <v>680</v>
      </c>
    </row>
    <row r="30" spans="1:9" x14ac:dyDescent="0.25">
      <c r="A30" s="3">
        <v>44734</v>
      </c>
      <c r="B30" s="4" t="s">
        <v>20</v>
      </c>
      <c r="C30" s="4" t="s">
        <v>1</v>
      </c>
      <c r="D30" s="4" t="s">
        <v>8</v>
      </c>
      <c r="E30" s="4">
        <v>10</v>
      </c>
      <c r="F30" s="4">
        <v>278</v>
      </c>
      <c r="G30" s="4">
        <f>INT(F30*1.4)</f>
        <v>389</v>
      </c>
      <c r="H30" s="10">
        <f>tbl_Sales[[#This Row],[Qty]]*tbl_Sales[[#This Row],[Unit price]]</f>
        <v>3890</v>
      </c>
      <c r="I30" s="10">
        <f>(tbl_Sales[[#This Row],[Unit price]]-tbl_Sales[[#This Row],[Unit cost]])*tbl_Sales[[#This Row],[Qty]]</f>
        <v>1110</v>
      </c>
    </row>
    <row r="31" spans="1:9" x14ac:dyDescent="0.25">
      <c r="A31" s="3">
        <v>44728</v>
      </c>
      <c r="B31" s="4" t="s">
        <v>22</v>
      </c>
      <c r="C31" s="4" t="s">
        <v>6</v>
      </c>
      <c r="D31" s="4" t="s">
        <v>7</v>
      </c>
      <c r="E31" s="4">
        <v>24</v>
      </c>
      <c r="F31" s="4">
        <v>472</v>
      </c>
      <c r="G31" s="4">
        <f>INT(F31*1.4)</f>
        <v>660</v>
      </c>
      <c r="H31" s="10">
        <f>tbl_Sales[[#This Row],[Qty]]*tbl_Sales[[#This Row],[Unit price]]</f>
        <v>15840</v>
      </c>
      <c r="I31" s="10">
        <f>(tbl_Sales[[#This Row],[Unit price]]-tbl_Sales[[#This Row],[Unit cost]])*tbl_Sales[[#This Row],[Qty]]</f>
        <v>4512</v>
      </c>
    </row>
    <row r="32" spans="1:9" x14ac:dyDescent="0.25">
      <c r="A32" s="3">
        <v>44728</v>
      </c>
      <c r="B32" s="4" t="s">
        <v>19</v>
      </c>
      <c r="C32" s="4" t="s">
        <v>1</v>
      </c>
      <c r="D32" s="4" t="s">
        <v>11</v>
      </c>
      <c r="E32" s="4">
        <v>10</v>
      </c>
      <c r="F32" s="4">
        <v>206</v>
      </c>
      <c r="G32" s="4">
        <f>INT(F32*1.4)</f>
        <v>288</v>
      </c>
      <c r="H32" s="10">
        <f>tbl_Sales[[#This Row],[Qty]]*tbl_Sales[[#This Row],[Unit price]]</f>
        <v>2880</v>
      </c>
      <c r="I32" s="10">
        <f>(tbl_Sales[[#This Row],[Unit price]]-tbl_Sales[[#This Row],[Unit cost]])*tbl_Sales[[#This Row],[Qty]]</f>
        <v>820</v>
      </c>
    </row>
    <row r="33" spans="1:9" x14ac:dyDescent="0.25">
      <c r="A33" s="3">
        <v>44722</v>
      </c>
      <c r="B33" s="4" t="s">
        <v>21</v>
      </c>
      <c r="C33" s="4" t="s">
        <v>5</v>
      </c>
      <c r="D33" s="4" t="s">
        <v>10</v>
      </c>
      <c r="E33" s="4">
        <v>16</v>
      </c>
      <c r="F33" s="4">
        <v>255</v>
      </c>
      <c r="G33" s="4">
        <f>INT(F33*1.4)</f>
        <v>357</v>
      </c>
      <c r="H33" s="10">
        <f>tbl_Sales[[#This Row],[Qty]]*tbl_Sales[[#This Row],[Unit price]]</f>
        <v>5712</v>
      </c>
      <c r="I33" s="10">
        <f>(tbl_Sales[[#This Row],[Unit price]]-tbl_Sales[[#This Row],[Unit cost]])*tbl_Sales[[#This Row],[Qty]]</f>
        <v>1632</v>
      </c>
    </row>
    <row r="34" spans="1:9" x14ac:dyDescent="0.25">
      <c r="A34" s="3">
        <v>44722</v>
      </c>
      <c r="B34" s="4" t="s">
        <v>18</v>
      </c>
      <c r="C34" s="4" t="s">
        <v>4</v>
      </c>
      <c r="D34" s="4" t="s">
        <v>11</v>
      </c>
      <c r="E34" s="4">
        <v>8</v>
      </c>
      <c r="F34" s="4">
        <v>474</v>
      </c>
      <c r="G34" s="4">
        <f>INT(F34*1.4)</f>
        <v>663</v>
      </c>
      <c r="H34" s="10">
        <f>tbl_Sales[[#This Row],[Qty]]*tbl_Sales[[#This Row],[Unit price]]</f>
        <v>5304</v>
      </c>
      <c r="I34" s="10">
        <f>(tbl_Sales[[#This Row],[Unit price]]-tbl_Sales[[#This Row],[Unit cost]])*tbl_Sales[[#This Row],[Qty]]</f>
        <v>1512</v>
      </c>
    </row>
    <row r="35" spans="1:9" x14ac:dyDescent="0.25">
      <c r="A35" s="3">
        <v>44716</v>
      </c>
      <c r="B35" s="4" t="s">
        <v>20</v>
      </c>
      <c r="C35" s="4" t="s">
        <v>5</v>
      </c>
      <c r="D35" s="4" t="s">
        <v>8</v>
      </c>
      <c r="E35" s="4">
        <v>7</v>
      </c>
      <c r="F35" s="4">
        <v>278</v>
      </c>
      <c r="G35" s="4">
        <f>INT(F35*1.4)</f>
        <v>389</v>
      </c>
      <c r="H35" s="10">
        <f>tbl_Sales[[#This Row],[Qty]]*tbl_Sales[[#This Row],[Unit price]]</f>
        <v>2723</v>
      </c>
      <c r="I35" s="10">
        <f>(tbl_Sales[[#This Row],[Unit price]]-tbl_Sales[[#This Row],[Unit cost]])*tbl_Sales[[#This Row],[Qty]]</f>
        <v>777</v>
      </c>
    </row>
    <row r="36" spans="1:9" x14ac:dyDescent="0.25">
      <c r="A36" s="3">
        <v>44716</v>
      </c>
      <c r="B36" s="4" t="s">
        <v>17</v>
      </c>
      <c r="C36" s="4" t="s">
        <v>5</v>
      </c>
      <c r="D36" s="4" t="s">
        <v>10</v>
      </c>
      <c r="E36" s="4">
        <v>14</v>
      </c>
      <c r="F36" s="4">
        <v>228</v>
      </c>
      <c r="G36" s="4">
        <f>INT(F36*1.4)</f>
        <v>319</v>
      </c>
      <c r="H36" s="10">
        <f>tbl_Sales[[#This Row],[Qty]]*tbl_Sales[[#This Row],[Unit price]]</f>
        <v>4466</v>
      </c>
      <c r="I36" s="10">
        <f>(tbl_Sales[[#This Row],[Unit price]]-tbl_Sales[[#This Row],[Unit cost]])*tbl_Sales[[#This Row],[Qty]]</f>
        <v>1274</v>
      </c>
    </row>
    <row r="37" spans="1:9" x14ac:dyDescent="0.25">
      <c r="A37" s="3">
        <v>44710</v>
      </c>
      <c r="B37" s="4" t="s">
        <v>19</v>
      </c>
      <c r="C37" s="4" t="s">
        <v>5</v>
      </c>
      <c r="D37" s="4" t="s">
        <v>11</v>
      </c>
      <c r="E37" s="4">
        <v>18</v>
      </c>
      <c r="F37" s="4">
        <v>206</v>
      </c>
      <c r="G37" s="4">
        <f>INT(F37*1.4)</f>
        <v>288</v>
      </c>
      <c r="H37" s="10">
        <f>tbl_Sales[[#This Row],[Qty]]*tbl_Sales[[#This Row],[Unit price]]</f>
        <v>5184</v>
      </c>
      <c r="I37" s="10">
        <f>(tbl_Sales[[#This Row],[Unit price]]-tbl_Sales[[#This Row],[Unit cost]])*tbl_Sales[[#This Row],[Qty]]</f>
        <v>1476</v>
      </c>
    </row>
    <row r="38" spans="1:9" x14ac:dyDescent="0.25">
      <c r="A38" s="3">
        <v>44710</v>
      </c>
      <c r="B38" s="4" t="s">
        <v>16</v>
      </c>
      <c r="C38" s="4" t="s">
        <v>6</v>
      </c>
      <c r="D38" s="4" t="s">
        <v>8</v>
      </c>
      <c r="E38" s="4">
        <v>19</v>
      </c>
      <c r="F38" s="4">
        <v>360</v>
      </c>
      <c r="G38" s="4">
        <f>INT(F38*1.4)</f>
        <v>504</v>
      </c>
      <c r="H38" s="10">
        <f>tbl_Sales[[#This Row],[Qty]]*tbl_Sales[[#This Row],[Unit price]]</f>
        <v>9576</v>
      </c>
      <c r="I38" s="10">
        <f>(tbl_Sales[[#This Row],[Unit price]]-tbl_Sales[[#This Row],[Unit cost]])*tbl_Sales[[#This Row],[Qty]]</f>
        <v>2736</v>
      </c>
    </row>
    <row r="39" spans="1:9" x14ac:dyDescent="0.25">
      <c r="A39" s="3">
        <v>44704</v>
      </c>
      <c r="B39" s="4" t="s">
        <v>18</v>
      </c>
      <c r="C39" s="4" t="s">
        <v>1</v>
      </c>
      <c r="D39" s="4" t="s">
        <v>8</v>
      </c>
      <c r="E39" s="4">
        <v>18</v>
      </c>
      <c r="F39" s="4">
        <v>474</v>
      </c>
      <c r="G39" s="4">
        <f>INT(F39*1.4)</f>
        <v>663</v>
      </c>
      <c r="H39" s="10">
        <f>tbl_Sales[[#This Row],[Qty]]*tbl_Sales[[#This Row],[Unit price]]</f>
        <v>11934</v>
      </c>
      <c r="I39" s="10">
        <f>(tbl_Sales[[#This Row],[Unit price]]-tbl_Sales[[#This Row],[Unit cost]])*tbl_Sales[[#This Row],[Qty]]</f>
        <v>3402</v>
      </c>
    </row>
    <row r="40" spans="1:9" x14ac:dyDescent="0.25">
      <c r="A40" s="3">
        <v>44704</v>
      </c>
      <c r="B40" s="4" t="s">
        <v>27</v>
      </c>
      <c r="C40" s="4" t="s">
        <v>6</v>
      </c>
      <c r="D40" s="4" t="s">
        <v>11</v>
      </c>
      <c r="E40" s="4">
        <v>10</v>
      </c>
      <c r="F40" s="4">
        <v>224</v>
      </c>
      <c r="G40" s="4">
        <f>INT(F40*1.4)</f>
        <v>313</v>
      </c>
      <c r="H40" s="10">
        <f>tbl_Sales[[#This Row],[Qty]]*tbl_Sales[[#This Row],[Unit price]]</f>
        <v>3130</v>
      </c>
      <c r="I40" s="10">
        <f>(tbl_Sales[[#This Row],[Unit price]]-tbl_Sales[[#This Row],[Unit cost]])*tbl_Sales[[#This Row],[Qty]]</f>
        <v>890</v>
      </c>
    </row>
    <row r="41" spans="1:9" x14ac:dyDescent="0.25">
      <c r="A41" s="3">
        <v>44698</v>
      </c>
      <c r="B41" s="4" t="s">
        <v>17</v>
      </c>
      <c r="C41" s="4" t="s">
        <v>1</v>
      </c>
      <c r="D41" s="4" t="s">
        <v>9</v>
      </c>
      <c r="E41" s="4">
        <v>5</v>
      </c>
      <c r="F41" s="4">
        <v>228</v>
      </c>
      <c r="G41" s="4">
        <f>INT(F41*1.4)</f>
        <v>319</v>
      </c>
      <c r="H41" s="10">
        <f>tbl_Sales[[#This Row],[Qty]]*tbl_Sales[[#This Row],[Unit price]]</f>
        <v>1595</v>
      </c>
      <c r="I41" s="10">
        <f>(tbl_Sales[[#This Row],[Unit price]]-tbl_Sales[[#This Row],[Unit cost]])*tbl_Sales[[#This Row],[Qty]]</f>
        <v>455</v>
      </c>
    </row>
    <row r="42" spans="1:9" x14ac:dyDescent="0.25">
      <c r="A42" s="3">
        <v>44698</v>
      </c>
      <c r="B42" s="4" t="s">
        <v>26</v>
      </c>
      <c r="C42" s="4" t="s">
        <v>4</v>
      </c>
      <c r="D42" s="4" t="s">
        <v>10</v>
      </c>
      <c r="E42" s="4">
        <v>8</v>
      </c>
      <c r="F42" s="4">
        <v>427</v>
      </c>
      <c r="G42" s="4">
        <f>INT(F42*1.4)</f>
        <v>597</v>
      </c>
      <c r="H42" s="10">
        <f>tbl_Sales[[#This Row],[Qty]]*tbl_Sales[[#This Row],[Unit price]]</f>
        <v>4776</v>
      </c>
      <c r="I42" s="10">
        <f>(tbl_Sales[[#This Row],[Unit price]]-tbl_Sales[[#This Row],[Unit cost]])*tbl_Sales[[#This Row],[Qty]]</f>
        <v>1360</v>
      </c>
    </row>
    <row r="43" spans="1:9" x14ac:dyDescent="0.25">
      <c r="A43" s="3">
        <v>44692</v>
      </c>
      <c r="B43" s="4" t="s">
        <v>16</v>
      </c>
      <c r="C43" s="4" t="s">
        <v>6</v>
      </c>
      <c r="D43" s="4" t="s">
        <v>8</v>
      </c>
      <c r="E43" s="4">
        <v>13</v>
      </c>
      <c r="F43" s="4">
        <v>360</v>
      </c>
      <c r="G43" s="4">
        <f>INT(F43*1.4)</f>
        <v>504</v>
      </c>
      <c r="H43" s="10">
        <f>tbl_Sales[[#This Row],[Qty]]*tbl_Sales[[#This Row],[Unit price]]</f>
        <v>6552</v>
      </c>
      <c r="I43" s="10">
        <f>(tbl_Sales[[#This Row],[Unit price]]-tbl_Sales[[#This Row],[Unit cost]])*tbl_Sales[[#This Row],[Qty]]</f>
        <v>1872</v>
      </c>
    </row>
    <row r="44" spans="1:9" x14ac:dyDescent="0.25">
      <c r="A44" s="3">
        <v>44692</v>
      </c>
      <c r="B44" s="4" t="s">
        <v>26</v>
      </c>
      <c r="C44" s="4" t="s">
        <v>4</v>
      </c>
      <c r="D44" s="4" t="s">
        <v>8</v>
      </c>
      <c r="E44" s="4">
        <v>14</v>
      </c>
      <c r="F44" s="4">
        <v>265</v>
      </c>
      <c r="G44" s="4">
        <f>INT(F44*1.4)</f>
        <v>371</v>
      </c>
      <c r="H44" s="10">
        <f>tbl_Sales[[#This Row],[Qty]]*tbl_Sales[[#This Row],[Unit price]]</f>
        <v>5194</v>
      </c>
      <c r="I44" s="10">
        <f>(tbl_Sales[[#This Row],[Unit price]]-tbl_Sales[[#This Row],[Unit cost]])*tbl_Sales[[#This Row],[Qty]]</f>
        <v>1484</v>
      </c>
    </row>
    <row r="45" spans="1:9" x14ac:dyDescent="0.25">
      <c r="A45" s="3">
        <v>44686</v>
      </c>
      <c r="B45" s="4" t="s">
        <v>17</v>
      </c>
      <c r="C45" s="4" t="s">
        <v>1</v>
      </c>
      <c r="D45" s="4" t="s">
        <v>7</v>
      </c>
      <c r="E45" s="4">
        <v>21</v>
      </c>
      <c r="F45" s="4">
        <v>300</v>
      </c>
      <c r="G45" s="4">
        <f>INT(F45*1.4)</f>
        <v>420</v>
      </c>
      <c r="H45" s="10">
        <f>tbl_Sales[[#This Row],[Qty]]*tbl_Sales[[#This Row],[Unit price]]</f>
        <v>8820</v>
      </c>
      <c r="I45" s="10">
        <f>(tbl_Sales[[#This Row],[Unit price]]-tbl_Sales[[#This Row],[Unit cost]])*tbl_Sales[[#This Row],[Qty]]</f>
        <v>2520</v>
      </c>
    </row>
    <row r="46" spans="1:9" x14ac:dyDescent="0.25">
      <c r="A46" s="3">
        <v>44686</v>
      </c>
      <c r="B46" s="4" t="s">
        <v>25</v>
      </c>
      <c r="C46" s="4" t="s">
        <v>5</v>
      </c>
      <c r="D46" s="4" t="s">
        <v>7</v>
      </c>
      <c r="E46" s="4">
        <v>19</v>
      </c>
      <c r="F46" s="4">
        <v>407</v>
      </c>
      <c r="G46" s="4">
        <f>INT(F46*1.4)</f>
        <v>569</v>
      </c>
      <c r="H46" s="10">
        <f>tbl_Sales[[#This Row],[Qty]]*tbl_Sales[[#This Row],[Unit price]]</f>
        <v>10811</v>
      </c>
      <c r="I46" s="10">
        <f>(tbl_Sales[[#This Row],[Unit price]]-tbl_Sales[[#This Row],[Unit cost]])*tbl_Sales[[#This Row],[Qty]]</f>
        <v>3078</v>
      </c>
    </row>
    <row r="47" spans="1:9" x14ac:dyDescent="0.25">
      <c r="A47" s="3">
        <v>44680</v>
      </c>
      <c r="B47" s="4" t="s">
        <v>30</v>
      </c>
      <c r="C47" s="4" t="s">
        <v>4</v>
      </c>
      <c r="D47" s="4" t="s">
        <v>11</v>
      </c>
      <c r="E47" s="4">
        <v>8</v>
      </c>
      <c r="F47" s="4">
        <v>382</v>
      </c>
      <c r="G47" s="4">
        <f>INT(F47*1.4)</f>
        <v>534</v>
      </c>
      <c r="H47" s="10">
        <f>tbl_Sales[[#This Row],[Qty]]*tbl_Sales[[#This Row],[Unit price]]</f>
        <v>4272</v>
      </c>
      <c r="I47" s="10">
        <f>(tbl_Sales[[#This Row],[Unit price]]-tbl_Sales[[#This Row],[Unit cost]])*tbl_Sales[[#This Row],[Qty]]</f>
        <v>1216</v>
      </c>
    </row>
    <row r="48" spans="1:9" x14ac:dyDescent="0.25">
      <c r="A48" s="3">
        <v>44680</v>
      </c>
      <c r="B48" s="4" t="s">
        <v>25</v>
      </c>
      <c r="C48" s="4" t="s">
        <v>4</v>
      </c>
      <c r="D48" s="4" t="s">
        <v>9</v>
      </c>
      <c r="E48" s="4">
        <v>10</v>
      </c>
      <c r="F48" s="4">
        <v>434</v>
      </c>
      <c r="G48" s="4">
        <f>INT(F48*1.4)</f>
        <v>607</v>
      </c>
      <c r="H48" s="10">
        <f>tbl_Sales[[#This Row],[Qty]]*tbl_Sales[[#This Row],[Unit price]]</f>
        <v>6070</v>
      </c>
      <c r="I48" s="10">
        <f>(tbl_Sales[[#This Row],[Unit price]]-tbl_Sales[[#This Row],[Unit cost]])*tbl_Sales[[#This Row],[Qty]]</f>
        <v>1730</v>
      </c>
    </row>
    <row r="49" spans="1:9" x14ac:dyDescent="0.25">
      <c r="A49" s="3">
        <v>44674</v>
      </c>
      <c r="B49" s="4" t="s">
        <v>29</v>
      </c>
      <c r="C49" s="4" t="s">
        <v>4</v>
      </c>
      <c r="D49" s="4" t="s">
        <v>10</v>
      </c>
      <c r="E49" s="4">
        <v>16</v>
      </c>
      <c r="F49" s="4">
        <v>105</v>
      </c>
      <c r="G49" s="4">
        <f>INT(F49*1.4)</f>
        <v>147</v>
      </c>
      <c r="H49" s="10">
        <f>tbl_Sales[[#This Row],[Qty]]*tbl_Sales[[#This Row],[Unit price]]</f>
        <v>2352</v>
      </c>
      <c r="I49" s="10">
        <f>(tbl_Sales[[#This Row],[Unit price]]-tbl_Sales[[#This Row],[Unit cost]])*tbl_Sales[[#This Row],[Qty]]</f>
        <v>672</v>
      </c>
    </row>
    <row r="50" spans="1:9" x14ac:dyDescent="0.25">
      <c r="A50" s="3">
        <v>44674</v>
      </c>
      <c r="B50" s="4" t="s">
        <v>28</v>
      </c>
      <c r="C50" s="4" t="s">
        <v>4</v>
      </c>
      <c r="D50" s="4" t="s">
        <v>10</v>
      </c>
      <c r="E50" s="4">
        <v>22</v>
      </c>
      <c r="F50" s="4">
        <v>362</v>
      </c>
      <c r="G50" s="4">
        <f>INT(F50*1.4)</f>
        <v>506</v>
      </c>
      <c r="H50" s="10">
        <f>tbl_Sales[[#This Row],[Qty]]*tbl_Sales[[#This Row],[Unit price]]</f>
        <v>11132</v>
      </c>
      <c r="I50" s="10">
        <f>(tbl_Sales[[#This Row],[Unit price]]-tbl_Sales[[#This Row],[Unit cost]])*tbl_Sales[[#This Row],[Qty]]</f>
        <v>3168</v>
      </c>
    </row>
    <row r="51" spans="1:9" x14ac:dyDescent="0.25">
      <c r="A51" s="3">
        <v>44668</v>
      </c>
      <c r="B51" s="4" t="s">
        <v>29</v>
      </c>
      <c r="C51" s="4" t="s">
        <v>1</v>
      </c>
      <c r="D51" s="4" t="s">
        <v>11</v>
      </c>
      <c r="E51" s="4">
        <v>5</v>
      </c>
      <c r="F51" s="4">
        <v>385</v>
      </c>
      <c r="G51" s="4">
        <f>INT(F51*1.4)</f>
        <v>539</v>
      </c>
      <c r="H51" s="10">
        <f>tbl_Sales[[#This Row],[Qty]]*tbl_Sales[[#This Row],[Unit price]]</f>
        <v>2695</v>
      </c>
      <c r="I51" s="10">
        <f>(tbl_Sales[[#This Row],[Unit price]]-tbl_Sales[[#This Row],[Unit cost]])*tbl_Sales[[#This Row],[Qty]]</f>
        <v>770</v>
      </c>
    </row>
    <row r="52" spans="1:9" x14ac:dyDescent="0.25">
      <c r="A52" s="3">
        <v>44668</v>
      </c>
      <c r="B52" s="4" t="s">
        <v>24</v>
      </c>
      <c r="C52" s="4" t="s">
        <v>1</v>
      </c>
      <c r="D52" s="4" t="s">
        <v>10</v>
      </c>
      <c r="E52" s="4">
        <v>20</v>
      </c>
      <c r="F52" s="4">
        <v>478</v>
      </c>
      <c r="G52" s="4">
        <f>INT(F52*1.4)</f>
        <v>669</v>
      </c>
      <c r="H52" s="10">
        <f>tbl_Sales[[#This Row],[Qty]]*tbl_Sales[[#This Row],[Unit price]]</f>
        <v>13380</v>
      </c>
      <c r="I52" s="10">
        <f>(tbl_Sales[[#This Row],[Unit price]]-tbl_Sales[[#This Row],[Unit cost]])*tbl_Sales[[#This Row],[Qty]]</f>
        <v>3820</v>
      </c>
    </row>
    <row r="53" spans="1:9" x14ac:dyDescent="0.25">
      <c r="A53" s="3">
        <v>44662</v>
      </c>
      <c r="B53" s="4" t="s">
        <v>27</v>
      </c>
      <c r="C53" s="4" t="s">
        <v>1</v>
      </c>
      <c r="D53" s="4" t="s">
        <v>10</v>
      </c>
      <c r="E53" s="4">
        <v>14</v>
      </c>
      <c r="F53" s="4">
        <v>270</v>
      </c>
      <c r="G53" s="4">
        <f>INT(F53*1.4)</f>
        <v>378</v>
      </c>
      <c r="H53" s="10">
        <f>tbl_Sales[[#This Row],[Qty]]*tbl_Sales[[#This Row],[Unit price]]</f>
        <v>5292</v>
      </c>
      <c r="I53" s="10">
        <f>(tbl_Sales[[#This Row],[Unit price]]-tbl_Sales[[#This Row],[Unit cost]])*tbl_Sales[[#This Row],[Qty]]</f>
        <v>1512</v>
      </c>
    </row>
    <row r="54" spans="1:9" x14ac:dyDescent="0.25">
      <c r="A54" s="3">
        <v>44662</v>
      </c>
      <c r="B54" s="4" t="s">
        <v>23</v>
      </c>
      <c r="C54" s="4" t="s">
        <v>6</v>
      </c>
      <c r="D54" s="4" t="s">
        <v>9</v>
      </c>
      <c r="E54" s="4">
        <v>21</v>
      </c>
      <c r="F54" s="4">
        <v>213</v>
      </c>
      <c r="G54" s="4">
        <f>INT(F54*1.4)</f>
        <v>298</v>
      </c>
      <c r="H54" s="10">
        <f>tbl_Sales[[#This Row],[Qty]]*tbl_Sales[[#This Row],[Unit price]]</f>
        <v>6258</v>
      </c>
      <c r="I54" s="10">
        <f>(tbl_Sales[[#This Row],[Unit price]]-tbl_Sales[[#This Row],[Unit cost]])*tbl_Sales[[#This Row],[Qty]]</f>
        <v>1785</v>
      </c>
    </row>
    <row r="55" spans="1:9" x14ac:dyDescent="0.25">
      <c r="A55" s="3">
        <v>44656</v>
      </c>
      <c r="B55" s="4" t="s">
        <v>27</v>
      </c>
      <c r="C55" s="4" t="s">
        <v>1</v>
      </c>
      <c r="D55" s="4" t="s">
        <v>7</v>
      </c>
      <c r="E55" s="4">
        <v>6</v>
      </c>
      <c r="F55" s="4">
        <v>224</v>
      </c>
      <c r="G55" s="4">
        <f>INT(F55*1.4)</f>
        <v>313</v>
      </c>
      <c r="H55" s="10">
        <f>tbl_Sales[[#This Row],[Qty]]*tbl_Sales[[#This Row],[Unit price]]</f>
        <v>1878</v>
      </c>
      <c r="I55" s="10">
        <f>(tbl_Sales[[#This Row],[Unit price]]-tbl_Sales[[#This Row],[Unit cost]])*tbl_Sales[[#This Row],[Qty]]</f>
        <v>534</v>
      </c>
    </row>
    <row r="56" spans="1:9" x14ac:dyDescent="0.25">
      <c r="A56" s="3">
        <v>44656</v>
      </c>
      <c r="B56" s="4" t="s">
        <v>22</v>
      </c>
      <c r="C56" s="4" t="s">
        <v>4</v>
      </c>
      <c r="D56" s="4" t="s">
        <v>9</v>
      </c>
      <c r="E56" s="4">
        <v>24</v>
      </c>
      <c r="F56" s="4">
        <v>472</v>
      </c>
      <c r="G56" s="4">
        <f>INT(F56*1.4)</f>
        <v>660</v>
      </c>
      <c r="H56" s="10">
        <f>tbl_Sales[[#This Row],[Qty]]*tbl_Sales[[#This Row],[Unit price]]</f>
        <v>15840</v>
      </c>
      <c r="I56" s="10">
        <f>(tbl_Sales[[#This Row],[Unit price]]-tbl_Sales[[#This Row],[Unit cost]])*tbl_Sales[[#This Row],[Qty]]</f>
        <v>4512</v>
      </c>
    </row>
    <row r="57" spans="1:9" x14ac:dyDescent="0.25">
      <c r="A57" s="3">
        <v>44650</v>
      </c>
      <c r="B57" s="4" t="s">
        <v>26</v>
      </c>
      <c r="C57" s="4" t="s">
        <v>5</v>
      </c>
      <c r="D57" s="4" t="s">
        <v>9</v>
      </c>
      <c r="E57" s="4">
        <v>18</v>
      </c>
      <c r="F57" s="4">
        <v>427</v>
      </c>
      <c r="G57" s="4">
        <f>INT(F57*1.4)</f>
        <v>597</v>
      </c>
      <c r="H57" s="10">
        <f>tbl_Sales[[#This Row],[Qty]]*tbl_Sales[[#This Row],[Unit price]]</f>
        <v>10746</v>
      </c>
      <c r="I57" s="10">
        <f>(tbl_Sales[[#This Row],[Unit price]]-tbl_Sales[[#This Row],[Unit cost]])*tbl_Sales[[#This Row],[Qty]]</f>
        <v>3060</v>
      </c>
    </row>
    <row r="58" spans="1:9" x14ac:dyDescent="0.25">
      <c r="A58" s="3">
        <v>44650</v>
      </c>
      <c r="B58" s="4" t="s">
        <v>17</v>
      </c>
      <c r="C58" s="4" t="s">
        <v>5</v>
      </c>
      <c r="D58" s="4" t="s">
        <v>8</v>
      </c>
      <c r="E58" s="4">
        <v>19</v>
      </c>
      <c r="F58" s="4">
        <v>300</v>
      </c>
      <c r="G58" s="4">
        <f>INT(F58*1.4)</f>
        <v>420</v>
      </c>
      <c r="H58" s="10">
        <f>tbl_Sales[[#This Row],[Qty]]*tbl_Sales[[#This Row],[Unit price]]</f>
        <v>7980</v>
      </c>
      <c r="I58" s="10">
        <f>(tbl_Sales[[#This Row],[Unit price]]-tbl_Sales[[#This Row],[Unit cost]])*tbl_Sales[[#This Row],[Qty]]</f>
        <v>2280</v>
      </c>
    </row>
    <row r="59" spans="1:9" x14ac:dyDescent="0.25">
      <c r="A59" s="3">
        <v>44644</v>
      </c>
      <c r="B59" s="4" t="s">
        <v>26</v>
      </c>
      <c r="C59" s="4" t="s">
        <v>6</v>
      </c>
      <c r="D59" s="4" t="s">
        <v>10</v>
      </c>
      <c r="E59" s="4">
        <v>6</v>
      </c>
      <c r="F59" s="4">
        <v>265</v>
      </c>
      <c r="G59" s="4">
        <f>INT(F59*1.4)</f>
        <v>371</v>
      </c>
      <c r="H59" s="10">
        <f>tbl_Sales[[#This Row],[Qty]]*tbl_Sales[[#This Row],[Unit price]]</f>
        <v>2226</v>
      </c>
      <c r="I59" s="10">
        <f>(tbl_Sales[[#This Row],[Unit price]]-tbl_Sales[[#This Row],[Unit cost]])*tbl_Sales[[#This Row],[Qty]]</f>
        <v>636</v>
      </c>
    </row>
    <row r="60" spans="1:9" x14ac:dyDescent="0.25">
      <c r="A60" s="3">
        <v>44644</v>
      </c>
      <c r="B60" s="4" t="s">
        <v>30</v>
      </c>
      <c r="C60" s="4" t="s">
        <v>5</v>
      </c>
      <c r="D60" s="4" t="s">
        <v>7</v>
      </c>
      <c r="E60" s="4">
        <v>23</v>
      </c>
      <c r="F60" s="4">
        <v>382</v>
      </c>
      <c r="G60" s="4">
        <f>INT(F60*1.4)</f>
        <v>534</v>
      </c>
      <c r="H60" s="10">
        <f>tbl_Sales[[#This Row],[Qty]]*tbl_Sales[[#This Row],[Unit price]]</f>
        <v>12282</v>
      </c>
      <c r="I60" s="10">
        <f>(tbl_Sales[[#This Row],[Unit price]]-tbl_Sales[[#This Row],[Unit cost]])*tbl_Sales[[#This Row],[Qty]]</f>
        <v>3496</v>
      </c>
    </row>
    <row r="61" spans="1:9" x14ac:dyDescent="0.25">
      <c r="A61" s="3">
        <v>44638</v>
      </c>
      <c r="B61" s="4" t="s">
        <v>25</v>
      </c>
      <c r="C61" s="4" t="s">
        <v>4</v>
      </c>
      <c r="D61" s="4" t="s">
        <v>7</v>
      </c>
      <c r="E61" s="4">
        <v>8</v>
      </c>
      <c r="F61" s="4">
        <v>407</v>
      </c>
      <c r="G61" s="4">
        <f>INT(F61*1.4)</f>
        <v>569</v>
      </c>
      <c r="H61" s="10">
        <f>tbl_Sales[[#This Row],[Qty]]*tbl_Sales[[#This Row],[Unit price]]</f>
        <v>4552</v>
      </c>
      <c r="I61" s="10">
        <f>(tbl_Sales[[#This Row],[Unit price]]-tbl_Sales[[#This Row],[Unit cost]])*tbl_Sales[[#This Row],[Qty]]</f>
        <v>1296</v>
      </c>
    </row>
    <row r="62" spans="1:9" x14ac:dyDescent="0.25">
      <c r="A62" s="3">
        <v>44638</v>
      </c>
      <c r="B62" s="4" t="s">
        <v>29</v>
      </c>
      <c r="C62" s="4" t="s">
        <v>5</v>
      </c>
      <c r="D62" s="4" t="s">
        <v>8</v>
      </c>
      <c r="E62" s="4">
        <v>15</v>
      </c>
      <c r="F62" s="4">
        <v>105</v>
      </c>
      <c r="G62" s="4">
        <f>INT(F62*1.4)</f>
        <v>147</v>
      </c>
      <c r="H62" s="10">
        <f>tbl_Sales[[#This Row],[Qty]]*tbl_Sales[[#This Row],[Unit price]]</f>
        <v>2205</v>
      </c>
      <c r="I62" s="10">
        <f>(tbl_Sales[[#This Row],[Unit price]]-tbl_Sales[[#This Row],[Unit cost]])*tbl_Sales[[#This Row],[Qty]]</f>
        <v>630</v>
      </c>
    </row>
    <row r="63" spans="1:9" x14ac:dyDescent="0.25">
      <c r="A63" s="3">
        <v>44632</v>
      </c>
      <c r="B63" s="4" t="s">
        <v>25</v>
      </c>
      <c r="C63" s="4" t="s">
        <v>5</v>
      </c>
      <c r="D63" s="4" t="s">
        <v>11</v>
      </c>
      <c r="E63" s="4">
        <v>14</v>
      </c>
      <c r="F63" s="4">
        <v>434</v>
      </c>
      <c r="G63" s="4">
        <f>INT(F63*1.4)</f>
        <v>607</v>
      </c>
      <c r="H63" s="10">
        <f>tbl_Sales[[#This Row],[Qty]]*tbl_Sales[[#This Row],[Unit price]]</f>
        <v>8498</v>
      </c>
      <c r="I63" s="10">
        <f>(tbl_Sales[[#This Row],[Unit price]]-tbl_Sales[[#This Row],[Unit cost]])*tbl_Sales[[#This Row],[Qty]]</f>
        <v>2422</v>
      </c>
    </row>
    <row r="64" spans="1:9" x14ac:dyDescent="0.25">
      <c r="A64" s="3">
        <v>44632</v>
      </c>
      <c r="B64" s="4" t="s">
        <v>29</v>
      </c>
      <c r="C64" s="4" t="s">
        <v>4</v>
      </c>
      <c r="D64" s="4" t="s">
        <v>8</v>
      </c>
      <c r="E64" s="4">
        <v>5</v>
      </c>
      <c r="F64" s="4">
        <v>385</v>
      </c>
      <c r="G64" s="4">
        <f>INT(F64*1.4)</f>
        <v>539</v>
      </c>
      <c r="H64" s="10">
        <f>tbl_Sales[[#This Row],[Qty]]*tbl_Sales[[#This Row],[Unit price]]</f>
        <v>2695</v>
      </c>
      <c r="I64" s="10">
        <f>(tbl_Sales[[#This Row],[Unit price]]-tbl_Sales[[#This Row],[Unit cost]])*tbl_Sales[[#This Row],[Qty]]</f>
        <v>770</v>
      </c>
    </row>
    <row r="65" spans="1:9" x14ac:dyDescent="0.25">
      <c r="A65" s="3">
        <v>44626</v>
      </c>
      <c r="B65" s="4" t="s">
        <v>28</v>
      </c>
      <c r="C65" s="4" t="s">
        <v>6</v>
      </c>
      <c r="D65" s="4" t="s">
        <v>9</v>
      </c>
      <c r="E65" s="4">
        <v>19</v>
      </c>
      <c r="F65" s="4">
        <v>362</v>
      </c>
      <c r="G65" s="4">
        <f>INT(F65*1.4)</f>
        <v>506</v>
      </c>
      <c r="H65" s="10">
        <f>tbl_Sales[[#This Row],[Qty]]*tbl_Sales[[#This Row],[Unit price]]</f>
        <v>9614</v>
      </c>
      <c r="I65" s="10">
        <f>(tbl_Sales[[#This Row],[Unit price]]-tbl_Sales[[#This Row],[Unit cost]])*tbl_Sales[[#This Row],[Qty]]</f>
        <v>2736</v>
      </c>
    </row>
    <row r="66" spans="1:9" x14ac:dyDescent="0.25">
      <c r="A66" s="3">
        <v>44626</v>
      </c>
      <c r="B66" s="4" t="s">
        <v>27</v>
      </c>
      <c r="C66" s="4" t="s">
        <v>4</v>
      </c>
      <c r="D66" s="4" t="s">
        <v>10</v>
      </c>
      <c r="E66" s="4">
        <v>13</v>
      </c>
      <c r="F66" s="4">
        <v>270</v>
      </c>
      <c r="G66" s="4">
        <f>INT(F66*1.4)</f>
        <v>378</v>
      </c>
      <c r="H66" s="10">
        <f>tbl_Sales[[#This Row],[Qty]]*tbl_Sales[[#This Row],[Unit price]]</f>
        <v>4914</v>
      </c>
      <c r="I66" s="10">
        <f>(tbl_Sales[[#This Row],[Unit price]]-tbl_Sales[[#This Row],[Unit cost]])*tbl_Sales[[#This Row],[Qty]]</f>
        <v>1404</v>
      </c>
    </row>
    <row r="67" spans="1:9" x14ac:dyDescent="0.25">
      <c r="A67" s="3">
        <v>44620</v>
      </c>
      <c r="B67" s="4" t="s">
        <v>24</v>
      </c>
      <c r="C67" s="4" t="s">
        <v>4</v>
      </c>
      <c r="D67" s="4" t="s">
        <v>9</v>
      </c>
      <c r="E67" s="4">
        <v>10</v>
      </c>
      <c r="F67" s="4">
        <v>478</v>
      </c>
      <c r="G67" s="4">
        <f>INT(F67*1.4)</f>
        <v>669</v>
      </c>
      <c r="H67" s="10">
        <f>tbl_Sales[[#This Row],[Qty]]*tbl_Sales[[#This Row],[Unit price]]</f>
        <v>6690</v>
      </c>
      <c r="I67" s="10">
        <f>(tbl_Sales[[#This Row],[Unit price]]-tbl_Sales[[#This Row],[Unit cost]])*tbl_Sales[[#This Row],[Qty]]</f>
        <v>1910</v>
      </c>
    </row>
    <row r="68" spans="1:9" x14ac:dyDescent="0.25">
      <c r="A68" s="3">
        <v>44620</v>
      </c>
      <c r="B68" s="4" t="s">
        <v>27</v>
      </c>
      <c r="C68" s="4" t="s">
        <v>1</v>
      </c>
      <c r="D68" s="4" t="s">
        <v>11</v>
      </c>
      <c r="E68" s="4">
        <v>21</v>
      </c>
      <c r="F68" s="4">
        <v>224</v>
      </c>
      <c r="G68" s="4">
        <f>INT(F68*1.4)</f>
        <v>313</v>
      </c>
      <c r="H68" s="10">
        <f>tbl_Sales[[#This Row],[Qty]]*tbl_Sales[[#This Row],[Unit price]]</f>
        <v>6573</v>
      </c>
      <c r="I68" s="10">
        <f>(tbl_Sales[[#This Row],[Unit price]]-tbl_Sales[[#This Row],[Unit cost]])*tbl_Sales[[#This Row],[Qty]]</f>
        <v>1869</v>
      </c>
    </row>
    <row r="69" spans="1:9" x14ac:dyDescent="0.25">
      <c r="A69" s="3">
        <v>44614</v>
      </c>
      <c r="B69" s="4" t="s">
        <v>23</v>
      </c>
      <c r="C69" s="4" t="s">
        <v>5</v>
      </c>
      <c r="D69" s="4" t="s">
        <v>11</v>
      </c>
      <c r="E69" s="4">
        <v>19</v>
      </c>
      <c r="F69" s="4">
        <v>213</v>
      </c>
      <c r="G69" s="4">
        <f>INT(F69*1.4)</f>
        <v>298</v>
      </c>
      <c r="H69" s="10">
        <f>tbl_Sales[[#This Row],[Qty]]*tbl_Sales[[#This Row],[Unit price]]</f>
        <v>5662</v>
      </c>
      <c r="I69" s="10">
        <f>(tbl_Sales[[#This Row],[Unit price]]-tbl_Sales[[#This Row],[Unit cost]])*tbl_Sales[[#This Row],[Qty]]</f>
        <v>1615</v>
      </c>
    </row>
    <row r="70" spans="1:9" x14ac:dyDescent="0.25">
      <c r="A70" s="3">
        <v>44614</v>
      </c>
      <c r="B70" s="4" t="s">
        <v>26</v>
      </c>
      <c r="C70" s="4" t="s">
        <v>1</v>
      </c>
      <c r="D70" s="4" t="s">
        <v>8</v>
      </c>
      <c r="E70" s="4">
        <v>8</v>
      </c>
      <c r="F70" s="4">
        <v>427</v>
      </c>
      <c r="G70" s="4">
        <f>INT(F70*1.4)</f>
        <v>597</v>
      </c>
      <c r="H70" s="10">
        <f>tbl_Sales[[#This Row],[Qty]]*tbl_Sales[[#This Row],[Unit price]]</f>
        <v>4776</v>
      </c>
      <c r="I70" s="10">
        <f>(tbl_Sales[[#This Row],[Unit price]]-tbl_Sales[[#This Row],[Unit cost]])*tbl_Sales[[#This Row],[Qty]]</f>
        <v>1360</v>
      </c>
    </row>
    <row r="71" spans="1:9" x14ac:dyDescent="0.25">
      <c r="A71" s="3">
        <v>44608</v>
      </c>
      <c r="B71" s="4" t="s">
        <v>22</v>
      </c>
      <c r="C71" s="4" t="s">
        <v>6</v>
      </c>
      <c r="D71" s="4" t="s">
        <v>7</v>
      </c>
      <c r="E71" s="4">
        <v>17</v>
      </c>
      <c r="F71" s="4">
        <v>472</v>
      </c>
      <c r="G71" s="4">
        <f>INT(F71*1.4)</f>
        <v>660</v>
      </c>
      <c r="H71" s="10">
        <f>tbl_Sales[[#This Row],[Qty]]*tbl_Sales[[#This Row],[Unit price]]</f>
        <v>11220</v>
      </c>
      <c r="I71" s="10">
        <f>(tbl_Sales[[#This Row],[Unit price]]-tbl_Sales[[#This Row],[Unit cost]])*tbl_Sales[[#This Row],[Qty]]</f>
        <v>3196</v>
      </c>
    </row>
    <row r="72" spans="1:9" x14ac:dyDescent="0.25">
      <c r="A72" s="3">
        <v>44608</v>
      </c>
      <c r="B72" s="4" t="s">
        <v>26</v>
      </c>
      <c r="C72" s="4" t="s">
        <v>1</v>
      </c>
      <c r="D72" s="4" t="s">
        <v>11</v>
      </c>
      <c r="E72" s="4">
        <v>10</v>
      </c>
      <c r="F72" s="4">
        <v>265</v>
      </c>
      <c r="G72" s="4">
        <f>INT(F72*1.4)</f>
        <v>371</v>
      </c>
      <c r="H72" s="10">
        <f>tbl_Sales[[#This Row],[Qty]]*tbl_Sales[[#This Row],[Unit price]]</f>
        <v>3710</v>
      </c>
      <c r="I72" s="10">
        <f>(tbl_Sales[[#This Row],[Unit price]]-tbl_Sales[[#This Row],[Unit cost]])*tbl_Sales[[#This Row],[Qty]]</f>
        <v>1060</v>
      </c>
    </row>
    <row r="73" spans="1:9" x14ac:dyDescent="0.25">
      <c r="A73" s="3">
        <v>44602</v>
      </c>
      <c r="B73" s="4" t="s">
        <v>21</v>
      </c>
      <c r="C73" s="4" t="s">
        <v>1</v>
      </c>
      <c r="D73" s="4" t="s">
        <v>11</v>
      </c>
      <c r="E73" s="4">
        <v>5</v>
      </c>
      <c r="F73" s="4">
        <v>255</v>
      </c>
      <c r="G73" s="4">
        <f>INT(F73*1.4)</f>
        <v>357</v>
      </c>
      <c r="H73" s="10">
        <f>tbl_Sales[[#This Row],[Qty]]*tbl_Sales[[#This Row],[Unit price]]</f>
        <v>1785</v>
      </c>
      <c r="I73" s="10">
        <f>(tbl_Sales[[#This Row],[Unit price]]-tbl_Sales[[#This Row],[Unit cost]])*tbl_Sales[[#This Row],[Qty]]</f>
        <v>510</v>
      </c>
    </row>
    <row r="74" spans="1:9" x14ac:dyDescent="0.25">
      <c r="A74" s="3">
        <v>44602</v>
      </c>
      <c r="B74" s="4" t="s">
        <v>25</v>
      </c>
      <c r="C74" s="4" t="s">
        <v>6</v>
      </c>
      <c r="D74" s="4" t="s">
        <v>9</v>
      </c>
      <c r="E74" s="4">
        <v>8</v>
      </c>
      <c r="F74" s="4">
        <v>407</v>
      </c>
      <c r="G74" s="4">
        <f>INT(F74*1.4)</f>
        <v>569</v>
      </c>
      <c r="H74" s="10">
        <f>tbl_Sales[[#This Row],[Qty]]*tbl_Sales[[#This Row],[Unit price]]</f>
        <v>4552</v>
      </c>
      <c r="I74" s="10">
        <f>(tbl_Sales[[#This Row],[Unit price]]-tbl_Sales[[#This Row],[Unit cost]])*tbl_Sales[[#This Row],[Qty]]</f>
        <v>1296</v>
      </c>
    </row>
    <row r="75" spans="1:9" x14ac:dyDescent="0.25">
      <c r="A75" s="3">
        <v>44596</v>
      </c>
      <c r="B75" s="4" t="s">
        <v>20</v>
      </c>
      <c r="C75" s="4" t="s">
        <v>1</v>
      </c>
      <c r="D75" s="4" t="s">
        <v>8</v>
      </c>
      <c r="E75" s="4">
        <v>13</v>
      </c>
      <c r="F75" s="4">
        <v>278</v>
      </c>
      <c r="G75" s="4">
        <f>INT(F75*1.4)</f>
        <v>389</v>
      </c>
      <c r="H75" s="10">
        <f>tbl_Sales[[#This Row],[Qty]]*tbl_Sales[[#This Row],[Unit price]]</f>
        <v>5057</v>
      </c>
      <c r="I75" s="10">
        <f>(tbl_Sales[[#This Row],[Unit price]]-tbl_Sales[[#This Row],[Unit cost]])*tbl_Sales[[#This Row],[Qty]]</f>
        <v>1443</v>
      </c>
    </row>
    <row r="76" spans="1:9" x14ac:dyDescent="0.25">
      <c r="A76" s="3">
        <v>44596</v>
      </c>
      <c r="B76" s="4" t="s">
        <v>25</v>
      </c>
      <c r="C76" s="4" t="s">
        <v>4</v>
      </c>
      <c r="D76" s="4" t="s">
        <v>9</v>
      </c>
      <c r="E76" s="4">
        <v>14</v>
      </c>
      <c r="F76" s="4">
        <v>434</v>
      </c>
      <c r="G76" s="4">
        <f>INT(F76*1.4)</f>
        <v>607</v>
      </c>
      <c r="H76" s="10">
        <f>tbl_Sales[[#This Row],[Qty]]*tbl_Sales[[#This Row],[Unit price]]</f>
        <v>8498</v>
      </c>
      <c r="I76" s="10">
        <f>(tbl_Sales[[#This Row],[Unit price]]-tbl_Sales[[#This Row],[Unit cost]])*tbl_Sales[[#This Row],[Qty]]</f>
        <v>2422</v>
      </c>
    </row>
    <row r="77" spans="1:9" x14ac:dyDescent="0.25">
      <c r="A77" s="3">
        <v>44590</v>
      </c>
      <c r="B77" s="4" t="s">
        <v>19</v>
      </c>
      <c r="C77" s="4" t="s">
        <v>1</v>
      </c>
      <c r="D77" s="4" t="s">
        <v>11</v>
      </c>
      <c r="E77" s="4">
        <v>21</v>
      </c>
      <c r="F77" s="4">
        <v>206</v>
      </c>
      <c r="G77" s="4">
        <f>INT(F77*1.4)</f>
        <v>288</v>
      </c>
      <c r="H77" s="10">
        <f>tbl_Sales[[#This Row],[Qty]]*tbl_Sales[[#This Row],[Unit price]]</f>
        <v>6048</v>
      </c>
      <c r="I77" s="10">
        <f>(tbl_Sales[[#This Row],[Unit price]]-tbl_Sales[[#This Row],[Unit cost]])*tbl_Sales[[#This Row],[Qty]]</f>
        <v>1722</v>
      </c>
    </row>
    <row r="78" spans="1:9" x14ac:dyDescent="0.25">
      <c r="A78" s="3">
        <v>44590</v>
      </c>
      <c r="B78" s="4" t="s">
        <v>28</v>
      </c>
      <c r="C78" s="4" t="s">
        <v>5</v>
      </c>
      <c r="D78" s="4" t="s">
        <v>11</v>
      </c>
      <c r="E78" s="4">
        <v>19</v>
      </c>
      <c r="F78" s="4">
        <v>362</v>
      </c>
      <c r="G78" s="4">
        <f>INT(F78*1.4)</f>
        <v>506</v>
      </c>
      <c r="H78" s="10">
        <f>tbl_Sales[[#This Row],[Qty]]*tbl_Sales[[#This Row],[Unit price]]</f>
        <v>9614</v>
      </c>
      <c r="I78" s="10">
        <f>(tbl_Sales[[#This Row],[Unit price]]-tbl_Sales[[#This Row],[Unit cost]])*tbl_Sales[[#This Row],[Qty]]</f>
        <v>2736</v>
      </c>
    </row>
    <row r="79" spans="1:9" x14ac:dyDescent="0.25">
      <c r="A79" s="3">
        <v>44584</v>
      </c>
      <c r="B79" s="4" t="s">
        <v>18</v>
      </c>
      <c r="C79" s="4" t="s">
        <v>4</v>
      </c>
      <c r="D79" s="4" t="s">
        <v>8</v>
      </c>
      <c r="E79" s="4">
        <v>8</v>
      </c>
      <c r="F79" s="4">
        <v>474</v>
      </c>
      <c r="G79" s="4">
        <f>INT(F79*1.4)</f>
        <v>663</v>
      </c>
      <c r="H79" s="10">
        <f>tbl_Sales[[#This Row],[Qty]]*tbl_Sales[[#This Row],[Unit price]]</f>
        <v>5304</v>
      </c>
      <c r="I79" s="10">
        <f>(tbl_Sales[[#This Row],[Unit price]]-tbl_Sales[[#This Row],[Unit cost]])*tbl_Sales[[#This Row],[Qty]]</f>
        <v>1512</v>
      </c>
    </row>
    <row r="80" spans="1:9" x14ac:dyDescent="0.25">
      <c r="A80" s="3">
        <v>44584</v>
      </c>
      <c r="B80" s="4" t="s">
        <v>17</v>
      </c>
      <c r="C80" s="4" t="s">
        <v>6</v>
      </c>
      <c r="D80" s="4" t="s">
        <v>7</v>
      </c>
      <c r="E80" s="4">
        <v>10</v>
      </c>
      <c r="F80" s="4">
        <v>300</v>
      </c>
      <c r="G80" s="4">
        <f>INT(F80*1.4)</f>
        <v>420</v>
      </c>
      <c r="H80" s="10">
        <f>tbl_Sales[[#This Row],[Qty]]*tbl_Sales[[#This Row],[Unit price]]</f>
        <v>4200</v>
      </c>
      <c r="I80" s="10">
        <f>(tbl_Sales[[#This Row],[Unit price]]-tbl_Sales[[#This Row],[Unit cost]])*tbl_Sales[[#This Row],[Qty]]</f>
        <v>1200</v>
      </c>
    </row>
    <row r="81" spans="1:9" x14ac:dyDescent="0.25">
      <c r="A81" s="3">
        <v>44578</v>
      </c>
      <c r="B81" s="4" t="s">
        <v>17</v>
      </c>
      <c r="C81" s="4" t="s">
        <v>4</v>
      </c>
      <c r="D81" s="4" t="s">
        <v>10</v>
      </c>
      <c r="E81" s="4">
        <v>10</v>
      </c>
      <c r="F81" s="4">
        <v>228</v>
      </c>
      <c r="G81" s="4">
        <f>INT(F81*1.4)</f>
        <v>319</v>
      </c>
      <c r="H81" s="10">
        <f>tbl_Sales[[#This Row],[Qty]]*tbl_Sales[[#This Row],[Unit price]]</f>
        <v>3190</v>
      </c>
      <c r="I81" s="10">
        <f>(tbl_Sales[[#This Row],[Unit price]]-tbl_Sales[[#This Row],[Unit cost]])*tbl_Sales[[#This Row],[Qty]]</f>
        <v>910</v>
      </c>
    </row>
    <row r="82" spans="1:9" x14ac:dyDescent="0.25">
      <c r="A82" s="3">
        <v>44578</v>
      </c>
      <c r="B82" s="4" t="s">
        <v>30</v>
      </c>
      <c r="C82" s="4" t="s">
        <v>5</v>
      </c>
      <c r="D82" s="4" t="s">
        <v>11</v>
      </c>
      <c r="E82" s="4">
        <v>5</v>
      </c>
      <c r="F82" s="4">
        <v>382</v>
      </c>
      <c r="G82" s="4">
        <f>INT(F82*1.4)</f>
        <v>534</v>
      </c>
      <c r="H82" s="10">
        <f>tbl_Sales[[#This Row],[Qty]]*tbl_Sales[[#This Row],[Unit price]]</f>
        <v>2670</v>
      </c>
      <c r="I82" s="10">
        <f>(tbl_Sales[[#This Row],[Unit price]]-tbl_Sales[[#This Row],[Unit cost]])*tbl_Sales[[#This Row],[Qty]]</f>
        <v>760</v>
      </c>
    </row>
    <row r="83" spans="1:9" x14ac:dyDescent="0.25">
      <c r="A83" s="3">
        <v>44572</v>
      </c>
      <c r="B83" s="4" t="s">
        <v>16</v>
      </c>
      <c r="C83" s="4" t="s">
        <v>6</v>
      </c>
      <c r="D83" s="4" t="s">
        <v>9</v>
      </c>
      <c r="E83" s="4">
        <v>19</v>
      </c>
      <c r="F83" s="4">
        <v>360</v>
      </c>
      <c r="G83" s="4">
        <f>INT(F83*1.4)</f>
        <v>504</v>
      </c>
      <c r="H83" s="10">
        <f>tbl_Sales[[#This Row],[Qty]]*tbl_Sales[[#This Row],[Unit price]]</f>
        <v>9576</v>
      </c>
      <c r="I83" s="10">
        <f>(tbl_Sales[[#This Row],[Unit price]]-tbl_Sales[[#This Row],[Unit cost]])*tbl_Sales[[#This Row],[Qty]]</f>
        <v>2736</v>
      </c>
    </row>
    <row r="84" spans="1:9" x14ac:dyDescent="0.25">
      <c r="A84" s="3">
        <v>44547</v>
      </c>
      <c r="B84" s="4" t="s">
        <v>25</v>
      </c>
      <c r="C84" s="4" t="s">
        <v>1</v>
      </c>
      <c r="D84" s="4" t="s">
        <v>11</v>
      </c>
      <c r="E84" s="4">
        <v>20</v>
      </c>
      <c r="F84" s="4">
        <v>407</v>
      </c>
      <c r="G84" s="4">
        <f>INT(F84*1.4)</f>
        <v>569</v>
      </c>
      <c r="H84" s="10">
        <f>tbl_Sales[[#This Row],[Qty]]*tbl_Sales[[#This Row],[Unit price]]</f>
        <v>11380</v>
      </c>
      <c r="I84" s="10">
        <f>(tbl_Sales[[#This Row],[Unit price]]-tbl_Sales[[#This Row],[Unit cost]])*tbl_Sales[[#This Row],[Qty]]</f>
        <v>3240</v>
      </c>
    </row>
    <row r="85" spans="1:9" x14ac:dyDescent="0.25">
      <c r="A85" s="3">
        <v>44540</v>
      </c>
      <c r="B85" s="4" t="s">
        <v>29</v>
      </c>
      <c r="C85" s="4" t="s">
        <v>4</v>
      </c>
      <c r="D85" s="4" t="s">
        <v>9</v>
      </c>
      <c r="E85" s="4">
        <v>12</v>
      </c>
      <c r="F85" s="4">
        <v>105</v>
      </c>
      <c r="G85" s="4">
        <f>INT(F85*1.4)</f>
        <v>147</v>
      </c>
      <c r="H85" s="10">
        <f>tbl_Sales[[#This Row],[Qty]]*tbl_Sales[[#This Row],[Unit price]]</f>
        <v>1764</v>
      </c>
      <c r="I85" s="10">
        <f>(tbl_Sales[[#This Row],[Unit price]]-tbl_Sales[[#This Row],[Unit cost]])*tbl_Sales[[#This Row],[Qty]]</f>
        <v>504</v>
      </c>
    </row>
    <row r="86" spans="1:9" x14ac:dyDescent="0.25">
      <c r="A86" s="3">
        <v>44535</v>
      </c>
      <c r="B86" s="4" t="s">
        <v>27</v>
      </c>
      <c r="C86" s="4" t="s">
        <v>5</v>
      </c>
      <c r="D86" s="4" t="s">
        <v>11</v>
      </c>
      <c r="E86" s="4">
        <v>14</v>
      </c>
      <c r="F86" s="4">
        <v>270</v>
      </c>
      <c r="G86" s="4">
        <f>INT(F86*1.4)</f>
        <v>378</v>
      </c>
      <c r="H86" s="10">
        <f>tbl_Sales[[#This Row],[Qty]]*tbl_Sales[[#This Row],[Unit price]]</f>
        <v>5292</v>
      </c>
      <c r="I86" s="10">
        <f>(tbl_Sales[[#This Row],[Unit price]]-tbl_Sales[[#This Row],[Unit cost]])*tbl_Sales[[#This Row],[Qty]]</f>
        <v>1512</v>
      </c>
    </row>
    <row r="87" spans="1:9" x14ac:dyDescent="0.25">
      <c r="A87" s="3">
        <v>44535</v>
      </c>
      <c r="B87" s="4" t="s">
        <v>29</v>
      </c>
      <c r="C87" s="4" t="s">
        <v>1</v>
      </c>
      <c r="D87" s="4" t="s">
        <v>8</v>
      </c>
      <c r="E87" s="4">
        <v>5</v>
      </c>
      <c r="F87" s="4">
        <v>385</v>
      </c>
      <c r="G87" s="4">
        <f>INT(F87*1.4)</f>
        <v>539</v>
      </c>
      <c r="H87" s="10">
        <f>tbl_Sales[[#This Row],[Qty]]*tbl_Sales[[#This Row],[Unit price]]</f>
        <v>2695</v>
      </c>
      <c r="I87" s="10">
        <f>(tbl_Sales[[#This Row],[Unit price]]-tbl_Sales[[#This Row],[Unit cost]])*tbl_Sales[[#This Row],[Qty]]</f>
        <v>770</v>
      </c>
    </row>
    <row r="88" spans="1:9" x14ac:dyDescent="0.25">
      <c r="A88" s="3">
        <v>44528</v>
      </c>
      <c r="B88" s="4" t="s">
        <v>27</v>
      </c>
      <c r="C88" s="4" t="s">
        <v>1</v>
      </c>
      <c r="D88" s="4" t="s">
        <v>11</v>
      </c>
      <c r="E88" s="4">
        <v>22</v>
      </c>
      <c r="F88" s="4">
        <v>224</v>
      </c>
      <c r="G88" s="4">
        <f>INT(F88*1.4)</f>
        <v>313</v>
      </c>
      <c r="H88" s="10">
        <f>tbl_Sales[[#This Row],[Qty]]*tbl_Sales[[#This Row],[Unit price]]</f>
        <v>6886</v>
      </c>
      <c r="I88" s="10">
        <f>(tbl_Sales[[#This Row],[Unit price]]-tbl_Sales[[#This Row],[Unit cost]])*tbl_Sales[[#This Row],[Qty]]</f>
        <v>1958</v>
      </c>
    </row>
    <row r="89" spans="1:9" x14ac:dyDescent="0.25">
      <c r="A89" s="3">
        <v>44521</v>
      </c>
      <c r="B89" s="4" t="s">
        <v>26</v>
      </c>
      <c r="C89" s="4" t="s">
        <v>6</v>
      </c>
      <c r="D89" s="4" t="s">
        <v>7</v>
      </c>
      <c r="E89" s="4">
        <v>20</v>
      </c>
      <c r="F89" s="4">
        <v>427</v>
      </c>
      <c r="G89" s="4">
        <f>INT(F89*1.4)</f>
        <v>597</v>
      </c>
      <c r="H89" s="10">
        <f>tbl_Sales[[#This Row],[Qty]]*tbl_Sales[[#This Row],[Unit price]]</f>
        <v>11940</v>
      </c>
      <c r="I89" s="10">
        <f>(tbl_Sales[[#This Row],[Unit price]]-tbl_Sales[[#This Row],[Unit cost]])*tbl_Sales[[#This Row],[Qty]]</f>
        <v>3400</v>
      </c>
    </row>
    <row r="90" spans="1:9" x14ac:dyDescent="0.25">
      <c r="A90" s="3">
        <v>44514</v>
      </c>
      <c r="B90" s="4" t="s">
        <v>26</v>
      </c>
      <c r="C90" s="4" t="s">
        <v>4</v>
      </c>
      <c r="D90" s="4" t="s">
        <v>11</v>
      </c>
      <c r="E90" s="4">
        <v>21</v>
      </c>
      <c r="F90" s="4">
        <v>265</v>
      </c>
      <c r="G90" s="4">
        <f>INT(F90*1.4)</f>
        <v>371</v>
      </c>
      <c r="H90" s="10">
        <f>tbl_Sales[[#This Row],[Qty]]*tbl_Sales[[#This Row],[Unit price]]</f>
        <v>7791</v>
      </c>
      <c r="I90" s="10">
        <f>(tbl_Sales[[#This Row],[Unit price]]-tbl_Sales[[#This Row],[Unit cost]])*tbl_Sales[[#This Row],[Qty]]</f>
        <v>2226</v>
      </c>
    </row>
    <row r="91" spans="1:9" x14ac:dyDescent="0.25">
      <c r="A91" s="3">
        <v>44507</v>
      </c>
      <c r="B91" s="4" t="s">
        <v>25</v>
      </c>
      <c r="C91" s="4" t="s">
        <v>5</v>
      </c>
      <c r="D91" s="4" t="s">
        <v>10</v>
      </c>
      <c r="E91" s="4">
        <v>24</v>
      </c>
      <c r="F91" s="4">
        <v>407</v>
      </c>
      <c r="G91" s="4">
        <f>INT(F91*1.4)</f>
        <v>569</v>
      </c>
      <c r="H91" s="10">
        <f>tbl_Sales[[#This Row],[Qty]]*tbl_Sales[[#This Row],[Unit price]]</f>
        <v>13656</v>
      </c>
      <c r="I91" s="10">
        <f>(tbl_Sales[[#This Row],[Unit price]]-tbl_Sales[[#This Row],[Unit cost]])*tbl_Sales[[#This Row],[Qty]]</f>
        <v>3888</v>
      </c>
    </row>
    <row r="92" spans="1:9" x14ac:dyDescent="0.25">
      <c r="A92" s="3">
        <v>44481</v>
      </c>
      <c r="B92" s="4" t="s">
        <v>17</v>
      </c>
      <c r="C92" s="4" t="s">
        <v>5</v>
      </c>
      <c r="D92" s="4" t="s">
        <v>10</v>
      </c>
      <c r="E92" s="4">
        <v>13</v>
      </c>
      <c r="F92" s="4">
        <v>300</v>
      </c>
      <c r="G92" s="4">
        <f>INT(F92*1.4)</f>
        <v>420</v>
      </c>
      <c r="H92" s="10">
        <f>tbl_Sales[[#This Row],[Qty]]*tbl_Sales[[#This Row],[Unit price]]</f>
        <v>5460</v>
      </c>
      <c r="I92" s="10">
        <f>(tbl_Sales[[#This Row],[Unit price]]-tbl_Sales[[#This Row],[Unit cost]])*tbl_Sales[[#This Row],[Qty]]</f>
        <v>1560</v>
      </c>
    </row>
    <row r="93" spans="1:9" x14ac:dyDescent="0.25">
      <c r="A93" s="3">
        <v>44474</v>
      </c>
      <c r="B93" s="4" t="s">
        <v>30</v>
      </c>
      <c r="C93" s="4" t="s">
        <v>5</v>
      </c>
      <c r="D93" s="4" t="s">
        <v>8</v>
      </c>
      <c r="E93" s="4">
        <v>7</v>
      </c>
      <c r="F93" s="4">
        <v>382</v>
      </c>
      <c r="G93" s="4">
        <f>INT(F93*1.4)</f>
        <v>534</v>
      </c>
      <c r="H93" s="10">
        <f>tbl_Sales[[#This Row],[Qty]]*tbl_Sales[[#This Row],[Unit price]]</f>
        <v>3738</v>
      </c>
      <c r="I93" s="10">
        <f>(tbl_Sales[[#This Row],[Unit price]]-tbl_Sales[[#This Row],[Unit cost]])*tbl_Sales[[#This Row],[Qty]]</f>
        <v>1064</v>
      </c>
    </row>
    <row r="94" spans="1:9" x14ac:dyDescent="0.25">
      <c r="A94" s="3">
        <v>44467</v>
      </c>
      <c r="B94" s="4" t="s">
        <v>29</v>
      </c>
      <c r="C94" s="4" t="s">
        <v>6</v>
      </c>
      <c r="D94" s="4" t="s">
        <v>8</v>
      </c>
      <c r="E94" s="4">
        <v>24</v>
      </c>
      <c r="F94" s="4">
        <v>105</v>
      </c>
      <c r="G94" s="4">
        <f>INT(F94*1.4)</f>
        <v>147</v>
      </c>
      <c r="H94" s="10">
        <f>tbl_Sales[[#This Row],[Qty]]*tbl_Sales[[#This Row],[Unit price]]</f>
        <v>3528</v>
      </c>
      <c r="I94" s="10">
        <f>(tbl_Sales[[#This Row],[Unit price]]-tbl_Sales[[#This Row],[Unit cost]])*tbl_Sales[[#This Row],[Qty]]</f>
        <v>1008</v>
      </c>
    </row>
    <row r="95" spans="1:9" x14ac:dyDescent="0.25">
      <c r="A95" s="3">
        <v>44460</v>
      </c>
      <c r="B95" s="4" t="s">
        <v>29</v>
      </c>
      <c r="C95" s="4" t="s">
        <v>5</v>
      </c>
      <c r="D95" s="4" t="s">
        <v>11</v>
      </c>
      <c r="E95" s="4">
        <v>11</v>
      </c>
      <c r="F95" s="4">
        <v>385</v>
      </c>
      <c r="G95" s="4">
        <f>INT(F95*1.4)</f>
        <v>539</v>
      </c>
      <c r="H95" s="10">
        <f>tbl_Sales[[#This Row],[Qty]]*tbl_Sales[[#This Row],[Unit price]]</f>
        <v>5929</v>
      </c>
      <c r="I95" s="10">
        <f>(tbl_Sales[[#This Row],[Unit price]]-tbl_Sales[[#This Row],[Unit cost]])*tbl_Sales[[#This Row],[Qty]]</f>
        <v>1694</v>
      </c>
    </row>
    <row r="96" spans="1:9" x14ac:dyDescent="0.25">
      <c r="A96" s="3">
        <v>44453</v>
      </c>
      <c r="B96" s="4" t="s">
        <v>27</v>
      </c>
      <c r="C96" s="4" t="s">
        <v>6</v>
      </c>
      <c r="D96" s="4" t="s">
        <v>11</v>
      </c>
      <c r="E96" s="4">
        <v>6</v>
      </c>
      <c r="F96" s="4">
        <v>270</v>
      </c>
      <c r="G96" s="4">
        <f>INT(F96*1.4)</f>
        <v>378</v>
      </c>
      <c r="H96" s="10">
        <f>tbl_Sales[[#This Row],[Qty]]*tbl_Sales[[#This Row],[Unit price]]</f>
        <v>2268</v>
      </c>
      <c r="I96" s="10">
        <f>(tbl_Sales[[#This Row],[Unit price]]-tbl_Sales[[#This Row],[Unit cost]])*tbl_Sales[[#This Row],[Qty]]</f>
        <v>648</v>
      </c>
    </row>
    <row r="97" spans="1:9" x14ac:dyDescent="0.25">
      <c r="A97" s="3">
        <v>44446</v>
      </c>
      <c r="B97" s="4" t="s">
        <v>27</v>
      </c>
      <c r="C97" s="4" t="s">
        <v>1</v>
      </c>
      <c r="D97" s="4" t="s">
        <v>8</v>
      </c>
      <c r="E97" s="4">
        <v>3</v>
      </c>
      <c r="F97" s="4">
        <v>224</v>
      </c>
      <c r="G97" s="4">
        <f>INT(F97*1.4)</f>
        <v>313</v>
      </c>
      <c r="H97" s="10">
        <f>tbl_Sales[[#This Row],[Qty]]*tbl_Sales[[#This Row],[Unit price]]</f>
        <v>939</v>
      </c>
      <c r="I97" s="10">
        <f>(tbl_Sales[[#This Row],[Unit price]]-tbl_Sales[[#This Row],[Unit cost]])*tbl_Sales[[#This Row],[Qty]]</f>
        <v>267</v>
      </c>
    </row>
    <row r="98" spans="1:9" x14ac:dyDescent="0.25">
      <c r="A98" s="3">
        <v>44439</v>
      </c>
      <c r="B98" s="4" t="s">
        <v>26</v>
      </c>
      <c r="C98" s="4" t="s">
        <v>1</v>
      </c>
      <c r="D98" s="4" t="s">
        <v>9</v>
      </c>
      <c r="E98" s="4">
        <v>3</v>
      </c>
      <c r="F98" s="4">
        <v>427</v>
      </c>
      <c r="G98" s="4">
        <f>INT(F98*1.4)</f>
        <v>597</v>
      </c>
      <c r="H98" s="10">
        <f>tbl_Sales[[#This Row],[Qty]]*tbl_Sales[[#This Row],[Unit price]]</f>
        <v>1791</v>
      </c>
      <c r="I98" s="10">
        <f>(tbl_Sales[[#This Row],[Unit price]]-tbl_Sales[[#This Row],[Unit cost]])*tbl_Sales[[#This Row],[Qty]]</f>
        <v>510</v>
      </c>
    </row>
    <row r="99" spans="1:9" x14ac:dyDescent="0.25">
      <c r="A99" s="3">
        <v>44439</v>
      </c>
      <c r="B99" s="4" t="s">
        <v>25</v>
      </c>
      <c r="C99" s="4" t="s">
        <v>4</v>
      </c>
      <c r="D99" s="4" t="s">
        <v>10</v>
      </c>
      <c r="E99" s="4">
        <v>5</v>
      </c>
      <c r="F99" s="4">
        <v>434</v>
      </c>
      <c r="G99" s="4">
        <f>INT(F99*1.4)</f>
        <v>607</v>
      </c>
      <c r="H99" s="10">
        <f>tbl_Sales[[#This Row],[Qty]]*tbl_Sales[[#This Row],[Unit price]]</f>
        <v>3035</v>
      </c>
      <c r="I99" s="10">
        <f>(tbl_Sales[[#This Row],[Unit price]]-tbl_Sales[[#This Row],[Unit cost]])*tbl_Sales[[#This Row],[Qty]]</f>
        <v>865</v>
      </c>
    </row>
    <row r="100" spans="1:9" x14ac:dyDescent="0.25">
      <c r="A100" s="3">
        <v>44432</v>
      </c>
      <c r="B100" s="4" t="s">
        <v>26</v>
      </c>
      <c r="C100" s="4" t="s">
        <v>6</v>
      </c>
      <c r="D100" s="4" t="s">
        <v>8</v>
      </c>
      <c r="E100" s="4">
        <v>6</v>
      </c>
      <c r="F100" s="4">
        <v>265</v>
      </c>
      <c r="G100" s="4">
        <f>INT(F100*1.4)</f>
        <v>371</v>
      </c>
      <c r="H100" s="10">
        <f>tbl_Sales[[#This Row],[Qty]]*tbl_Sales[[#This Row],[Unit price]]</f>
        <v>2226</v>
      </c>
      <c r="I100" s="10">
        <f>(tbl_Sales[[#This Row],[Unit price]]-tbl_Sales[[#This Row],[Unit cost]])*tbl_Sales[[#This Row],[Qty]]</f>
        <v>636</v>
      </c>
    </row>
    <row r="101" spans="1:9" x14ac:dyDescent="0.25">
      <c r="A101" s="3">
        <v>44432</v>
      </c>
      <c r="B101" s="4" t="s">
        <v>28</v>
      </c>
      <c r="C101" s="4" t="s">
        <v>4</v>
      </c>
      <c r="D101" s="4" t="s">
        <v>8</v>
      </c>
      <c r="E101" s="4">
        <v>2</v>
      </c>
      <c r="F101" s="4">
        <v>362</v>
      </c>
      <c r="G101" s="4">
        <f>INT(F101*1.4)</f>
        <v>506</v>
      </c>
      <c r="H101" s="10">
        <f>tbl_Sales[[#This Row],[Qty]]*tbl_Sales[[#This Row],[Unit price]]</f>
        <v>1012</v>
      </c>
      <c r="I101" s="10">
        <f>(tbl_Sales[[#This Row],[Unit price]]-tbl_Sales[[#This Row],[Unit cost]])*tbl_Sales[[#This Row],[Qty]]</f>
        <v>288</v>
      </c>
    </row>
    <row r="102" spans="1:9" x14ac:dyDescent="0.25">
      <c r="A102" s="3">
        <v>44425</v>
      </c>
      <c r="B102" s="4" t="s">
        <v>17</v>
      </c>
      <c r="C102" s="4" t="s">
        <v>5</v>
      </c>
      <c r="D102" s="4" t="s">
        <v>7</v>
      </c>
      <c r="E102" s="4">
        <v>1</v>
      </c>
      <c r="F102" s="4">
        <v>300</v>
      </c>
      <c r="G102" s="4">
        <f>INT(F102*1.4)</f>
        <v>420</v>
      </c>
      <c r="H102" s="10">
        <f>tbl_Sales[[#This Row],[Qty]]*tbl_Sales[[#This Row],[Unit price]]</f>
        <v>420</v>
      </c>
      <c r="I102" s="10">
        <f>(tbl_Sales[[#This Row],[Unit price]]-tbl_Sales[[#This Row],[Unit cost]])*tbl_Sales[[#This Row],[Qty]]</f>
        <v>120</v>
      </c>
    </row>
    <row r="103" spans="1:9" x14ac:dyDescent="0.25">
      <c r="A103" s="3">
        <v>44418</v>
      </c>
      <c r="B103" s="4" t="s">
        <v>25</v>
      </c>
      <c r="C103" s="4" t="s">
        <v>4</v>
      </c>
      <c r="D103" s="4" t="s">
        <v>9</v>
      </c>
      <c r="E103" s="4">
        <v>7</v>
      </c>
      <c r="F103" s="4">
        <v>434</v>
      </c>
      <c r="G103" s="4">
        <f>INT(F103*1.4)</f>
        <v>607</v>
      </c>
      <c r="H103" s="10">
        <f>tbl_Sales[[#This Row],[Qty]]*tbl_Sales[[#This Row],[Unit price]]</f>
        <v>4249</v>
      </c>
      <c r="I103" s="10">
        <f>(tbl_Sales[[#This Row],[Unit price]]-tbl_Sales[[#This Row],[Unit cost]])*tbl_Sales[[#This Row],[Qty]]</f>
        <v>1211</v>
      </c>
    </row>
    <row r="104" spans="1:9" x14ac:dyDescent="0.25">
      <c r="A104" s="3">
        <v>44418</v>
      </c>
      <c r="B104" s="4" t="s">
        <v>30</v>
      </c>
      <c r="C104" s="4" t="s">
        <v>1</v>
      </c>
      <c r="D104" s="4" t="s">
        <v>7</v>
      </c>
      <c r="E104" s="4">
        <v>8</v>
      </c>
      <c r="F104" s="4">
        <v>382</v>
      </c>
      <c r="G104" s="4">
        <f>INT(F104*1.4)</f>
        <v>534</v>
      </c>
      <c r="H104" s="10">
        <f>tbl_Sales[[#This Row],[Qty]]*tbl_Sales[[#This Row],[Unit price]]</f>
        <v>4272</v>
      </c>
      <c r="I104" s="10">
        <f>(tbl_Sales[[#This Row],[Unit price]]-tbl_Sales[[#This Row],[Unit cost]])*tbl_Sales[[#This Row],[Qty]]</f>
        <v>1216</v>
      </c>
    </row>
    <row r="105" spans="1:9" x14ac:dyDescent="0.25">
      <c r="A105" s="3">
        <v>44411</v>
      </c>
      <c r="B105" s="4" t="s">
        <v>28</v>
      </c>
      <c r="C105" s="4" t="s">
        <v>4</v>
      </c>
      <c r="D105" s="4" t="s">
        <v>10</v>
      </c>
      <c r="E105" s="4">
        <v>3</v>
      </c>
      <c r="F105" s="4">
        <v>362</v>
      </c>
      <c r="G105" s="4">
        <f>INT(F105*1.4)</f>
        <v>506</v>
      </c>
      <c r="H105" s="10">
        <f>tbl_Sales[[#This Row],[Qty]]*tbl_Sales[[#This Row],[Unit price]]</f>
        <v>1518</v>
      </c>
      <c r="I105" s="10">
        <f>(tbl_Sales[[#This Row],[Unit price]]-tbl_Sales[[#This Row],[Unit cost]])*tbl_Sales[[#This Row],[Qty]]</f>
        <v>432</v>
      </c>
    </row>
    <row r="106" spans="1:9" x14ac:dyDescent="0.25">
      <c r="A106" s="3">
        <v>44411</v>
      </c>
      <c r="B106" s="4" t="s">
        <v>29</v>
      </c>
      <c r="C106" s="4" t="s">
        <v>4</v>
      </c>
      <c r="D106" s="4" t="s">
        <v>11</v>
      </c>
      <c r="E106" s="4">
        <v>4</v>
      </c>
      <c r="F106" s="4">
        <v>105</v>
      </c>
      <c r="G106" s="4">
        <f>INT(F106*1.4)</f>
        <v>147</v>
      </c>
      <c r="H106" s="10">
        <f>tbl_Sales[[#This Row],[Qty]]*tbl_Sales[[#This Row],[Unit price]]</f>
        <v>588</v>
      </c>
      <c r="I106" s="10">
        <f>(tbl_Sales[[#This Row],[Unit price]]-tbl_Sales[[#This Row],[Unit cost]])*tbl_Sales[[#This Row],[Qty]]</f>
        <v>168</v>
      </c>
    </row>
    <row r="107" spans="1:9" x14ac:dyDescent="0.25">
      <c r="A107" s="3">
        <v>44404</v>
      </c>
      <c r="B107" s="4" t="s">
        <v>24</v>
      </c>
      <c r="C107" s="4" t="s">
        <v>4</v>
      </c>
      <c r="D107" s="4" t="s">
        <v>8</v>
      </c>
      <c r="E107" s="4">
        <v>3</v>
      </c>
      <c r="F107" s="4">
        <v>478</v>
      </c>
      <c r="G107" s="4">
        <f>INT(F107*1.4)</f>
        <v>669</v>
      </c>
      <c r="H107" s="10">
        <f>tbl_Sales[[#This Row],[Qty]]*tbl_Sales[[#This Row],[Unit price]]</f>
        <v>2007</v>
      </c>
      <c r="I107" s="10">
        <f>(tbl_Sales[[#This Row],[Unit price]]-tbl_Sales[[#This Row],[Unit cost]])*tbl_Sales[[#This Row],[Qty]]</f>
        <v>573</v>
      </c>
    </row>
    <row r="108" spans="1:9" x14ac:dyDescent="0.25">
      <c r="A108" s="3">
        <v>44404</v>
      </c>
      <c r="B108" s="4" t="s">
        <v>29</v>
      </c>
      <c r="C108" s="4" t="s">
        <v>4</v>
      </c>
      <c r="D108" s="4" t="s">
        <v>10</v>
      </c>
      <c r="E108" s="4">
        <v>9</v>
      </c>
      <c r="F108" s="4">
        <v>385</v>
      </c>
      <c r="G108" s="4">
        <f>INT(F108*1.4)</f>
        <v>539</v>
      </c>
      <c r="H108" s="10">
        <f>tbl_Sales[[#This Row],[Qty]]*tbl_Sales[[#This Row],[Unit price]]</f>
        <v>4851</v>
      </c>
      <c r="I108" s="10">
        <f>(tbl_Sales[[#This Row],[Unit price]]-tbl_Sales[[#This Row],[Unit cost]])*tbl_Sales[[#This Row],[Qty]]</f>
        <v>1386</v>
      </c>
    </row>
    <row r="109" spans="1:9" x14ac:dyDescent="0.25">
      <c r="A109" s="3">
        <v>44397</v>
      </c>
      <c r="B109" s="4" t="s">
        <v>23</v>
      </c>
      <c r="C109" s="4" t="s">
        <v>4</v>
      </c>
      <c r="D109" s="4" t="s">
        <v>10</v>
      </c>
      <c r="E109" s="4">
        <v>9</v>
      </c>
      <c r="F109" s="4">
        <v>213</v>
      </c>
      <c r="G109" s="4">
        <f>INT(F109*1.4)</f>
        <v>298</v>
      </c>
      <c r="H109" s="10">
        <f>tbl_Sales[[#This Row],[Qty]]*tbl_Sales[[#This Row],[Unit price]]</f>
        <v>2682</v>
      </c>
      <c r="I109" s="10">
        <f>(tbl_Sales[[#This Row],[Unit price]]-tbl_Sales[[#This Row],[Unit cost]])*tbl_Sales[[#This Row],[Qty]]</f>
        <v>765</v>
      </c>
    </row>
    <row r="110" spans="1:9" x14ac:dyDescent="0.25">
      <c r="A110" s="3">
        <v>44397</v>
      </c>
      <c r="B110" s="4" t="s">
        <v>27</v>
      </c>
      <c r="C110" s="4" t="s">
        <v>5</v>
      </c>
      <c r="D110" s="4" t="s">
        <v>11</v>
      </c>
      <c r="E110" s="4">
        <v>1</v>
      </c>
      <c r="F110" s="4">
        <v>270</v>
      </c>
      <c r="G110" s="4">
        <f>INT(F110*1.4)</f>
        <v>378</v>
      </c>
      <c r="H110" s="10">
        <f>tbl_Sales[[#This Row],[Qty]]*tbl_Sales[[#This Row],[Unit price]]</f>
        <v>378</v>
      </c>
      <c r="I110" s="10">
        <f>(tbl_Sales[[#This Row],[Unit price]]-tbl_Sales[[#This Row],[Unit cost]])*tbl_Sales[[#This Row],[Qty]]</f>
        <v>108</v>
      </c>
    </row>
    <row r="111" spans="1:9" x14ac:dyDescent="0.25">
      <c r="A111" s="3">
        <v>44390</v>
      </c>
      <c r="B111" s="4" t="s">
        <v>22</v>
      </c>
      <c r="C111" s="4" t="s">
        <v>1</v>
      </c>
      <c r="D111" s="4" t="s">
        <v>11</v>
      </c>
      <c r="E111" s="4">
        <v>3</v>
      </c>
      <c r="F111" s="4">
        <v>472</v>
      </c>
      <c r="G111" s="4">
        <f>INT(F111*1.4)</f>
        <v>660</v>
      </c>
      <c r="H111" s="10">
        <f>tbl_Sales[[#This Row],[Qty]]*tbl_Sales[[#This Row],[Unit price]]</f>
        <v>1980</v>
      </c>
      <c r="I111" s="10">
        <f>(tbl_Sales[[#This Row],[Unit price]]-tbl_Sales[[#This Row],[Unit cost]])*tbl_Sales[[#This Row],[Qty]]</f>
        <v>564</v>
      </c>
    </row>
    <row r="112" spans="1:9" x14ac:dyDescent="0.25">
      <c r="A112" s="3">
        <v>44390</v>
      </c>
      <c r="B112" s="4" t="s">
        <v>27</v>
      </c>
      <c r="C112" s="4" t="s">
        <v>6</v>
      </c>
      <c r="D112" s="4" t="s">
        <v>9</v>
      </c>
      <c r="E112" s="4">
        <v>5</v>
      </c>
      <c r="F112" s="4">
        <v>224</v>
      </c>
      <c r="G112" s="4">
        <f>INT(F112*1.4)</f>
        <v>313</v>
      </c>
      <c r="H112" s="10">
        <f>tbl_Sales[[#This Row],[Qty]]*tbl_Sales[[#This Row],[Unit price]]</f>
        <v>1565</v>
      </c>
      <c r="I112" s="10">
        <f>(tbl_Sales[[#This Row],[Unit price]]-tbl_Sales[[#This Row],[Unit cost]])*tbl_Sales[[#This Row],[Qty]]</f>
        <v>445</v>
      </c>
    </row>
    <row r="113" spans="1:9" x14ac:dyDescent="0.25">
      <c r="A113" s="3">
        <v>44383</v>
      </c>
      <c r="B113" s="4" t="s">
        <v>21</v>
      </c>
      <c r="C113" s="4" t="s">
        <v>1</v>
      </c>
      <c r="D113" s="4" t="s">
        <v>8</v>
      </c>
      <c r="E113" s="4">
        <v>5</v>
      </c>
      <c r="F113" s="4">
        <v>255</v>
      </c>
      <c r="G113" s="4">
        <f>INT(F113*1.4)</f>
        <v>357</v>
      </c>
      <c r="H113" s="10">
        <f>tbl_Sales[[#This Row],[Qty]]*tbl_Sales[[#This Row],[Unit price]]</f>
        <v>1785</v>
      </c>
      <c r="I113" s="10">
        <f>(tbl_Sales[[#This Row],[Unit price]]-tbl_Sales[[#This Row],[Unit cost]])*tbl_Sales[[#This Row],[Qty]]</f>
        <v>510</v>
      </c>
    </row>
    <row r="114" spans="1:9" x14ac:dyDescent="0.25">
      <c r="A114" s="3">
        <v>44383</v>
      </c>
      <c r="B114" s="4" t="s">
        <v>26</v>
      </c>
      <c r="C114" s="4" t="s">
        <v>4</v>
      </c>
      <c r="D114" s="4" t="s">
        <v>9</v>
      </c>
      <c r="E114" s="4">
        <v>2</v>
      </c>
      <c r="F114" s="4">
        <v>427</v>
      </c>
      <c r="G114" s="4">
        <f>INT(F114*1.4)</f>
        <v>597</v>
      </c>
      <c r="H114" s="10">
        <f>tbl_Sales[[#This Row],[Qty]]*tbl_Sales[[#This Row],[Unit price]]</f>
        <v>1194</v>
      </c>
      <c r="I114" s="10">
        <f>(tbl_Sales[[#This Row],[Unit price]]-tbl_Sales[[#This Row],[Unit cost]])*tbl_Sales[[#This Row],[Qty]]</f>
        <v>340</v>
      </c>
    </row>
    <row r="115" spans="1:9" x14ac:dyDescent="0.25">
      <c r="A115" s="3">
        <v>44376</v>
      </c>
      <c r="B115" s="4" t="s">
        <v>20</v>
      </c>
      <c r="C115" s="4" t="s">
        <v>1</v>
      </c>
      <c r="D115" s="4" t="s">
        <v>11</v>
      </c>
      <c r="E115" s="4">
        <v>11</v>
      </c>
      <c r="F115" s="4">
        <v>278</v>
      </c>
      <c r="G115" s="4">
        <f>INT(F115*1.4)</f>
        <v>389</v>
      </c>
      <c r="H115" s="10">
        <f>tbl_Sales[[#This Row],[Qty]]*tbl_Sales[[#This Row],[Unit price]]</f>
        <v>4279</v>
      </c>
      <c r="I115" s="10">
        <f>(tbl_Sales[[#This Row],[Unit price]]-tbl_Sales[[#This Row],[Unit cost]])*tbl_Sales[[#This Row],[Qty]]</f>
        <v>1221</v>
      </c>
    </row>
    <row r="116" spans="1:9" x14ac:dyDescent="0.25">
      <c r="A116" s="3">
        <v>44376</v>
      </c>
      <c r="B116" s="4" t="s">
        <v>26</v>
      </c>
      <c r="C116" s="4" t="s">
        <v>5</v>
      </c>
      <c r="D116" s="4" t="s">
        <v>11</v>
      </c>
      <c r="E116" s="4">
        <v>5</v>
      </c>
      <c r="F116" s="4">
        <v>265</v>
      </c>
      <c r="G116" s="4">
        <f>INT(F116*1.4)</f>
        <v>371</v>
      </c>
      <c r="H116" s="10">
        <f>tbl_Sales[[#This Row],[Qty]]*tbl_Sales[[#This Row],[Unit price]]</f>
        <v>1855</v>
      </c>
      <c r="I116" s="10">
        <f>(tbl_Sales[[#This Row],[Unit price]]-tbl_Sales[[#This Row],[Unit cost]])*tbl_Sales[[#This Row],[Qty]]</f>
        <v>530</v>
      </c>
    </row>
    <row r="117" spans="1:9" x14ac:dyDescent="0.25">
      <c r="A117" s="3">
        <v>44369</v>
      </c>
      <c r="B117" s="4" t="s">
        <v>19</v>
      </c>
      <c r="C117" s="4" t="s">
        <v>6</v>
      </c>
      <c r="D117" s="4" t="s">
        <v>9</v>
      </c>
      <c r="E117" s="4">
        <v>12</v>
      </c>
      <c r="F117" s="4">
        <v>206</v>
      </c>
      <c r="G117" s="4">
        <f>INT(F117*1.4)</f>
        <v>288</v>
      </c>
      <c r="H117" s="10">
        <f>tbl_Sales[[#This Row],[Qty]]*tbl_Sales[[#This Row],[Unit price]]</f>
        <v>3456</v>
      </c>
      <c r="I117" s="10">
        <f>(tbl_Sales[[#This Row],[Unit price]]-tbl_Sales[[#This Row],[Unit cost]])*tbl_Sales[[#This Row],[Qty]]</f>
        <v>984</v>
      </c>
    </row>
    <row r="118" spans="1:9" x14ac:dyDescent="0.25">
      <c r="A118" s="3">
        <v>44369</v>
      </c>
      <c r="B118" s="4" t="s">
        <v>25</v>
      </c>
      <c r="C118" s="4" t="s">
        <v>6</v>
      </c>
      <c r="D118" s="4" t="s">
        <v>7</v>
      </c>
      <c r="E118" s="4">
        <v>14</v>
      </c>
      <c r="F118" s="4">
        <v>407</v>
      </c>
      <c r="G118" s="4">
        <f>INT(F118*1.4)</f>
        <v>569</v>
      </c>
      <c r="H118" s="10">
        <f>tbl_Sales[[#This Row],[Qty]]*tbl_Sales[[#This Row],[Unit price]]</f>
        <v>7966</v>
      </c>
      <c r="I118" s="10">
        <f>(tbl_Sales[[#This Row],[Unit price]]-tbl_Sales[[#This Row],[Unit cost]])*tbl_Sales[[#This Row],[Qty]]</f>
        <v>2268</v>
      </c>
    </row>
    <row r="119" spans="1:9" x14ac:dyDescent="0.25">
      <c r="A119" s="3">
        <v>44362</v>
      </c>
      <c r="B119" s="4" t="s">
        <v>18</v>
      </c>
      <c r="C119" s="4" t="s">
        <v>4</v>
      </c>
      <c r="D119" s="4" t="s">
        <v>9</v>
      </c>
      <c r="E119" s="4">
        <v>5</v>
      </c>
      <c r="F119" s="4">
        <v>474</v>
      </c>
      <c r="G119" s="4">
        <f>INT(F119*1.4)</f>
        <v>663</v>
      </c>
      <c r="H119" s="10">
        <f>tbl_Sales[[#This Row],[Qty]]*tbl_Sales[[#This Row],[Unit price]]</f>
        <v>3315</v>
      </c>
      <c r="I119" s="10">
        <f>(tbl_Sales[[#This Row],[Unit price]]-tbl_Sales[[#This Row],[Unit cost]])*tbl_Sales[[#This Row],[Qty]]</f>
        <v>945</v>
      </c>
    </row>
    <row r="120" spans="1:9" x14ac:dyDescent="0.25">
      <c r="A120" s="3">
        <v>44362</v>
      </c>
      <c r="B120" s="4" t="s">
        <v>25</v>
      </c>
      <c r="C120" s="4" t="s">
        <v>1</v>
      </c>
      <c r="D120" s="4" t="s">
        <v>11</v>
      </c>
      <c r="E120" s="4">
        <v>22</v>
      </c>
      <c r="F120" s="4">
        <v>434</v>
      </c>
      <c r="G120" s="4">
        <f>INT(F120*1.4)</f>
        <v>607</v>
      </c>
      <c r="H120" s="10">
        <f>tbl_Sales[[#This Row],[Qty]]*tbl_Sales[[#This Row],[Unit price]]</f>
        <v>13354</v>
      </c>
      <c r="I120" s="10">
        <f>(tbl_Sales[[#This Row],[Unit price]]-tbl_Sales[[#This Row],[Unit cost]])*tbl_Sales[[#This Row],[Qty]]</f>
        <v>3806</v>
      </c>
    </row>
    <row r="121" spans="1:9" x14ac:dyDescent="0.25">
      <c r="A121" s="3">
        <v>44355</v>
      </c>
      <c r="B121" s="4" t="s">
        <v>17</v>
      </c>
      <c r="C121" s="4" t="s">
        <v>5</v>
      </c>
      <c r="D121" s="4" t="s">
        <v>11</v>
      </c>
      <c r="E121" s="4">
        <v>13</v>
      </c>
      <c r="F121" s="4">
        <v>228</v>
      </c>
      <c r="G121" s="4">
        <f>INT(F121*1.4)</f>
        <v>319</v>
      </c>
      <c r="H121" s="10">
        <f>tbl_Sales[[#This Row],[Qty]]*tbl_Sales[[#This Row],[Unit price]]</f>
        <v>4147</v>
      </c>
      <c r="I121" s="10">
        <f>(tbl_Sales[[#This Row],[Unit price]]-tbl_Sales[[#This Row],[Unit cost]])*tbl_Sales[[#This Row],[Qty]]</f>
        <v>1183</v>
      </c>
    </row>
    <row r="122" spans="1:9" x14ac:dyDescent="0.25">
      <c r="A122" s="3">
        <v>44355</v>
      </c>
      <c r="B122" s="4" t="s">
        <v>28</v>
      </c>
      <c r="C122" s="4" t="s">
        <v>1</v>
      </c>
      <c r="D122" s="4" t="s">
        <v>8</v>
      </c>
      <c r="E122" s="4">
        <v>20</v>
      </c>
      <c r="F122" s="4">
        <v>362</v>
      </c>
      <c r="G122" s="4">
        <f>INT(F122*1.4)</f>
        <v>506</v>
      </c>
      <c r="H122" s="10">
        <f>tbl_Sales[[#This Row],[Qty]]*tbl_Sales[[#This Row],[Unit price]]</f>
        <v>10120</v>
      </c>
      <c r="I122" s="10">
        <f>(tbl_Sales[[#This Row],[Unit price]]-tbl_Sales[[#This Row],[Unit cost]])*tbl_Sales[[#This Row],[Qty]]</f>
        <v>2880</v>
      </c>
    </row>
    <row r="123" spans="1:9" x14ac:dyDescent="0.25">
      <c r="A123" s="3">
        <v>44348</v>
      </c>
      <c r="B123" s="4" t="s">
        <v>16</v>
      </c>
      <c r="C123" s="4" t="s">
        <v>6</v>
      </c>
      <c r="D123" s="4" t="s">
        <v>7</v>
      </c>
      <c r="E123" s="4">
        <v>10</v>
      </c>
      <c r="F123" s="4">
        <v>360</v>
      </c>
      <c r="G123" s="4">
        <f>INT(F123*1.4)</f>
        <v>504</v>
      </c>
      <c r="H123" s="10">
        <f>tbl_Sales[[#This Row],[Qty]]*tbl_Sales[[#This Row],[Unit price]]</f>
        <v>5040</v>
      </c>
      <c r="I123" s="10">
        <f>(tbl_Sales[[#This Row],[Unit price]]-tbl_Sales[[#This Row],[Unit cost]])*tbl_Sales[[#This Row],[Qty]]</f>
        <v>1440</v>
      </c>
    </row>
    <row r="124" spans="1:9" x14ac:dyDescent="0.25">
      <c r="A124" s="3">
        <v>44348</v>
      </c>
      <c r="B124" s="4" t="s">
        <v>24</v>
      </c>
      <c r="C124" s="4" t="s">
        <v>1</v>
      </c>
      <c r="D124" s="4" t="s">
        <v>11</v>
      </c>
      <c r="E124" s="4">
        <v>21</v>
      </c>
      <c r="F124" s="4">
        <v>478</v>
      </c>
      <c r="G124" s="4">
        <f>INT(F124*1.4)</f>
        <v>669</v>
      </c>
      <c r="H124" s="10">
        <f>tbl_Sales[[#This Row],[Qty]]*tbl_Sales[[#This Row],[Unit price]]</f>
        <v>14049</v>
      </c>
      <c r="I124" s="10">
        <f>(tbl_Sales[[#This Row],[Unit price]]-tbl_Sales[[#This Row],[Unit cost]])*tbl_Sales[[#This Row],[Qty]]</f>
        <v>4011</v>
      </c>
    </row>
    <row r="125" spans="1:9" x14ac:dyDescent="0.25">
      <c r="A125" s="3">
        <v>44341</v>
      </c>
      <c r="B125" s="4" t="s">
        <v>17</v>
      </c>
      <c r="C125" s="4" t="s">
        <v>5</v>
      </c>
      <c r="D125" s="4" t="s">
        <v>11</v>
      </c>
      <c r="E125" s="4">
        <v>8</v>
      </c>
      <c r="F125" s="4">
        <v>300</v>
      </c>
      <c r="G125" s="4">
        <f>INT(F125*1.4)</f>
        <v>420</v>
      </c>
      <c r="H125" s="10">
        <f>tbl_Sales[[#This Row],[Qty]]*tbl_Sales[[#This Row],[Unit price]]</f>
        <v>3360</v>
      </c>
      <c r="I125" s="10">
        <f>(tbl_Sales[[#This Row],[Unit price]]-tbl_Sales[[#This Row],[Unit cost]])*tbl_Sales[[#This Row],[Qty]]</f>
        <v>960</v>
      </c>
    </row>
    <row r="126" spans="1:9" x14ac:dyDescent="0.25">
      <c r="A126" s="3">
        <v>44341</v>
      </c>
      <c r="B126" s="4" t="s">
        <v>23</v>
      </c>
      <c r="C126" s="4" t="s">
        <v>4</v>
      </c>
      <c r="D126" s="4" t="s">
        <v>8</v>
      </c>
      <c r="E126" s="4">
        <v>24</v>
      </c>
      <c r="F126" s="4">
        <v>213</v>
      </c>
      <c r="G126" s="4">
        <f>INT(F126*1.4)</f>
        <v>298</v>
      </c>
      <c r="H126" s="10">
        <f>tbl_Sales[[#This Row],[Qty]]*tbl_Sales[[#This Row],[Unit price]]</f>
        <v>7152</v>
      </c>
      <c r="I126" s="10">
        <f>(tbl_Sales[[#This Row],[Unit price]]-tbl_Sales[[#This Row],[Unit cost]])*tbl_Sales[[#This Row],[Qty]]</f>
        <v>2040</v>
      </c>
    </row>
    <row r="127" spans="1:9" x14ac:dyDescent="0.25">
      <c r="A127" s="3">
        <v>44334</v>
      </c>
      <c r="B127" s="4" t="s">
        <v>30</v>
      </c>
      <c r="C127" s="4" t="s">
        <v>6</v>
      </c>
      <c r="D127" s="4" t="s">
        <v>9</v>
      </c>
      <c r="E127" s="4">
        <v>14</v>
      </c>
      <c r="F127" s="4">
        <v>382</v>
      </c>
      <c r="G127" s="4">
        <f>INT(F127*1.4)</f>
        <v>534</v>
      </c>
      <c r="H127" s="10">
        <f>tbl_Sales[[#This Row],[Qty]]*tbl_Sales[[#This Row],[Unit price]]</f>
        <v>7476</v>
      </c>
      <c r="I127" s="10">
        <f>(tbl_Sales[[#This Row],[Unit price]]-tbl_Sales[[#This Row],[Unit cost]])*tbl_Sales[[#This Row],[Qty]]</f>
        <v>2128</v>
      </c>
    </row>
    <row r="128" spans="1:9" x14ac:dyDescent="0.25">
      <c r="A128" s="3">
        <v>44334</v>
      </c>
      <c r="B128" s="4" t="s">
        <v>22</v>
      </c>
      <c r="C128" s="4" t="s">
        <v>4</v>
      </c>
      <c r="D128" s="4" t="s">
        <v>10</v>
      </c>
      <c r="E128" s="4">
        <v>23</v>
      </c>
      <c r="F128" s="4">
        <v>472</v>
      </c>
      <c r="G128" s="4">
        <f>INT(F128*1.4)</f>
        <v>660</v>
      </c>
      <c r="H128" s="10">
        <f>tbl_Sales[[#This Row],[Qty]]*tbl_Sales[[#This Row],[Unit price]]</f>
        <v>15180</v>
      </c>
      <c r="I128" s="10">
        <f>(tbl_Sales[[#This Row],[Unit price]]-tbl_Sales[[#This Row],[Unit cost]])*tbl_Sales[[#This Row],[Qty]]</f>
        <v>4324</v>
      </c>
    </row>
    <row r="129" spans="1:9" x14ac:dyDescent="0.25">
      <c r="A129" s="3">
        <v>44327</v>
      </c>
      <c r="B129" s="4" t="s">
        <v>29</v>
      </c>
      <c r="C129" s="4" t="s">
        <v>4</v>
      </c>
      <c r="D129" s="4" t="s">
        <v>9</v>
      </c>
      <c r="E129" s="4">
        <v>9</v>
      </c>
      <c r="F129" s="4">
        <v>105</v>
      </c>
      <c r="G129" s="4">
        <f>INT(F129*1.4)</f>
        <v>147</v>
      </c>
      <c r="H129" s="10">
        <f>tbl_Sales[[#This Row],[Qty]]*tbl_Sales[[#This Row],[Unit price]]</f>
        <v>1323</v>
      </c>
      <c r="I129" s="10">
        <f>(tbl_Sales[[#This Row],[Unit price]]-tbl_Sales[[#This Row],[Unit cost]])*tbl_Sales[[#This Row],[Qty]]</f>
        <v>378</v>
      </c>
    </row>
    <row r="130" spans="1:9" x14ac:dyDescent="0.25">
      <c r="A130" s="3">
        <v>44327</v>
      </c>
      <c r="B130" s="4" t="s">
        <v>21</v>
      </c>
      <c r="C130" s="4" t="s">
        <v>1</v>
      </c>
      <c r="D130" s="4" t="s">
        <v>11</v>
      </c>
      <c r="E130" s="4">
        <v>5</v>
      </c>
      <c r="F130" s="4">
        <v>255</v>
      </c>
      <c r="G130" s="4">
        <f>INT(F130*1.4)</f>
        <v>357</v>
      </c>
      <c r="H130" s="10">
        <f>tbl_Sales[[#This Row],[Qty]]*tbl_Sales[[#This Row],[Unit price]]</f>
        <v>1785</v>
      </c>
      <c r="I130" s="10">
        <f>(tbl_Sales[[#This Row],[Unit price]]-tbl_Sales[[#This Row],[Unit cost]])*tbl_Sales[[#This Row],[Qty]]</f>
        <v>510</v>
      </c>
    </row>
    <row r="131" spans="1:9" x14ac:dyDescent="0.25">
      <c r="A131" s="3">
        <v>44320</v>
      </c>
      <c r="B131" s="4" t="s">
        <v>29</v>
      </c>
      <c r="C131" s="4" t="s">
        <v>5</v>
      </c>
      <c r="D131" s="4" t="s">
        <v>11</v>
      </c>
      <c r="E131" s="4">
        <v>7</v>
      </c>
      <c r="F131" s="4">
        <v>385</v>
      </c>
      <c r="G131" s="4">
        <f>INT(F131*1.4)</f>
        <v>539</v>
      </c>
      <c r="H131" s="10">
        <f>tbl_Sales[[#This Row],[Qty]]*tbl_Sales[[#This Row],[Unit price]]</f>
        <v>3773</v>
      </c>
      <c r="I131" s="10">
        <f>(tbl_Sales[[#This Row],[Unit price]]-tbl_Sales[[#This Row],[Unit cost]])*tbl_Sales[[#This Row],[Qty]]</f>
        <v>1078</v>
      </c>
    </row>
    <row r="132" spans="1:9" x14ac:dyDescent="0.25">
      <c r="A132" s="3">
        <v>44320</v>
      </c>
      <c r="B132" s="4" t="s">
        <v>20</v>
      </c>
      <c r="C132" s="4" t="s">
        <v>1</v>
      </c>
      <c r="D132" s="4" t="s">
        <v>8</v>
      </c>
      <c r="E132" s="4">
        <v>6</v>
      </c>
      <c r="F132" s="4">
        <v>278</v>
      </c>
      <c r="G132" s="4">
        <f>INT(F132*1.4)</f>
        <v>389</v>
      </c>
      <c r="H132" s="10">
        <f>tbl_Sales[[#This Row],[Qty]]*tbl_Sales[[#This Row],[Unit price]]</f>
        <v>2334</v>
      </c>
      <c r="I132" s="10">
        <f>(tbl_Sales[[#This Row],[Unit price]]-tbl_Sales[[#This Row],[Unit cost]])*tbl_Sales[[#This Row],[Qty]]</f>
        <v>666</v>
      </c>
    </row>
    <row r="133" spans="1:9" x14ac:dyDescent="0.25">
      <c r="A133" s="3">
        <v>44313</v>
      </c>
      <c r="B133" s="4" t="s">
        <v>27</v>
      </c>
      <c r="C133" s="4" t="s">
        <v>6</v>
      </c>
      <c r="D133" s="4" t="s">
        <v>7</v>
      </c>
      <c r="E133" s="4">
        <v>5</v>
      </c>
      <c r="F133" s="4">
        <v>270</v>
      </c>
      <c r="G133" s="4">
        <f>INT(F133*1.4)</f>
        <v>378</v>
      </c>
      <c r="H133" s="10">
        <f>tbl_Sales[[#This Row],[Qty]]*tbl_Sales[[#This Row],[Unit price]]</f>
        <v>1890</v>
      </c>
      <c r="I133" s="10">
        <f>(tbl_Sales[[#This Row],[Unit price]]-tbl_Sales[[#This Row],[Unit cost]])*tbl_Sales[[#This Row],[Qty]]</f>
        <v>540</v>
      </c>
    </row>
    <row r="134" spans="1:9" x14ac:dyDescent="0.25">
      <c r="A134" s="3">
        <v>44313</v>
      </c>
      <c r="B134" s="4" t="s">
        <v>19</v>
      </c>
      <c r="C134" s="4" t="s">
        <v>1</v>
      </c>
      <c r="D134" s="4" t="s">
        <v>11</v>
      </c>
      <c r="E134" s="4">
        <v>8</v>
      </c>
      <c r="F134" s="4">
        <v>206</v>
      </c>
      <c r="G134" s="4">
        <f>INT(F134*1.4)</f>
        <v>288</v>
      </c>
      <c r="H134" s="10">
        <f>tbl_Sales[[#This Row],[Qty]]*tbl_Sales[[#This Row],[Unit price]]</f>
        <v>2304</v>
      </c>
      <c r="I134" s="10">
        <f>(tbl_Sales[[#This Row],[Unit price]]-tbl_Sales[[#This Row],[Unit cost]])*tbl_Sales[[#This Row],[Qty]]</f>
        <v>656</v>
      </c>
    </row>
    <row r="135" spans="1:9" x14ac:dyDescent="0.25">
      <c r="A135" s="3">
        <v>44306</v>
      </c>
      <c r="B135" s="4" t="s">
        <v>27</v>
      </c>
      <c r="C135" s="4" t="s">
        <v>5</v>
      </c>
      <c r="D135" s="4" t="s">
        <v>10</v>
      </c>
      <c r="E135" s="4">
        <v>12</v>
      </c>
      <c r="F135" s="4">
        <v>224</v>
      </c>
      <c r="G135" s="4">
        <f>INT(F135*1.4)</f>
        <v>313</v>
      </c>
      <c r="H135" s="10">
        <f>tbl_Sales[[#This Row],[Qty]]*tbl_Sales[[#This Row],[Unit price]]</f>
        <v>3756</v>
      </c>
      <c r="I135" s="10">
        <f>(tbl_Sales[[#This Row],[Unit price]]-tbl_Sales[[#This Row],[Unit cost]])*tbl_Sales[[#This Row],[Qty]]</f>
        <v>1068</v>
      </c>
    </row>
    <row r="136" spans="1:9" x14ac:dyDescent="0.25">
      <c r="A136" s="3">
        <v>44306</v>
      </c>
      <c r="B136" s="4" t="s">
        <v>18</v>
      </c>
      <c r="C136" s="4" t="s">
        <v>4</v>
      </c>
      <c r="D136" s="4" t="s">
        <v>11</v>
      </c>
      <c r="E136" s="4">
        <v>5</v>
      </c>
      <c r="F136" s="4">
        <v>474</v>
      </c>
      <c r="G136" s="4">
        <f>INT(F136*1.4)</f>
        <v>663</v>
      </c>
      <c r="H136" s="10">
        <f>tbl_Sales[[#This Row],[Qty]]*tbl_Sales[[#This Row],[Unit price]]</f>
        <v>3315</v>
      </c>
      <c r="I136" s="10">
        <f>(tbl_Sales[[#This Row],[Unit price]]-tbl_Sales[[#This Row],[Unit cost]])*tbl_Sales[[#This Row],[Qty]]</f>
        <v>945</v>
      </c>
    </row>
    <row r="137" spans="1:9" x14ac:dyDescent="0.25">
      <c r="A137" s="3">
        <v>44299</v>
      </c>
      <c r="B137" s="4" t="s">
        <v>26</v>
      </c>
      <c r="C137" s="4" t="s">
        <v>5</v>
      </c>
      <c r="D137" s="4" t="s">
        <v>8</v>
      </c>
      <c r="E137" s="4">
        <v>5</v>
      </c>
      <c r="F137" s="4">
        <v>427</v>
      </c>
      <c r="G137" s="4">
        <f>INT(F137*1.4)</f>
        <v>597</v>
      </c>
      <c r="H137" s="10">
        <f>tbl_Sales[[#This Row],[Qty]]*tbl_Sales[[#This Row],[Unit price]]</f>
        <v>2985</v>
      </c>
      <c r="I137" s="10">
        <f>(tbl_Sales[[#This Row],[Unit price]]-tbl_Sales[[#This Row],[Unit cost]])*tbl_Sales[[#This Row],[Qty]]</f>
        <v>850</v>
      </c>
    </row>
    <row r="138" spans="1:9" x14ac:dyDescent="0.25">
      <c r="A138" s="3">
        <v>44299</v>
      </c>
      <c r="B138" s="4" t="s">
        <v>17</v>
      </c>
      <c r="C138" s="4" t="s">
        <v>5</v>
      </c>
      <c r="D138" s="4" t="s">
        <v>10</v>
      </c>
      <c r="E138" s="4">
        <v>13</v>
      </c>
      <c r="F138" s="4">
        <v>228</v>
      </c>
      <c r="G138" s="4">
        <f>INT(F138*1.4)</f>
        <v>319</v>
      </c>
      <c r="H138" s="10">
        <f>tbl_Sales[[#This Row],[Qty]]*tbl_Sales[[#This Row],[Unit price]]</f>
        <v>4147</v>
      </c>
      <c r="I138" s="10">
        <f>(tbl_Sales[[#This Row],[Unit price]]-tbl_Sales[[#This Row],[Unit cost]])*tbl_Sales[[#This Row],[Qty]]</f>
        <v>1183</v>
      </c>
    </row>
    <row r="139" spans="1:9" x14ac:dyDescent="0.25">
      <c r="A139" s="3">
        <v>44292</v>
      </c>
      <c r="B139" s="4" t="s">
        <v>26</v>
      </c>
      <c r="C139" s="4" t="s">
        <v>5</v>
      </c>
      <c r="D139" s="4" t="s">
        <v>11</v>
      </c>
      <c r="E139" s="4">
        <v>14</v>
      </c>
      <c r="F139" s="4">
        <v>265</v>
      </c>
      <c r="G139" s="4">
        <f>INT(F139*1.4)</f>
        <v>371</v>
      </c>
      <c r="H139" s="10">
        <f>tbl_Sales[[#This Row],[Qty]]*tbl_Sales[[#This Row],[Unit price]]</f>
        <v>5194</v>
      </c>
      <c r="I139" s="10">
        <f>(tbl_Sales[[#This Row],[Unit price]]-tbl_Sales[[#This Row],[Unit cost]])*tbl_Sales[[#This Row],[Qty]]</f>
        <v>1484</v>
      </c>
    </row>
    <row r="140" spans="1:9" x14ac:dyDescent="0.25">
      <c r="A140" s="3">
        <v>44292</v>
      </c>
      <c r="B140" s="4" t="s">
        <v>16</v>
      </c>
      <c r="C140" s="4" t="s">
        <v>6</v>
      </c>
      <c r="D140" s="4" t="s">
        <v>8</v>
      </c>
      <c r="E140" s="4">
        <v>10</v>
      </c>
      <c r="F140" s="4">
        <v>360</v>
      </c>
      <c r="G140" s="4">
        <f>INT(F140*1.4)</f>
        <v>504</v>
      </c>
      <c r="H140" s="10">
        <f>tbl_Sales[[#This Row],[Qty]]*tbl_Sales[[#This Row],[Unit price]]</f>
        <v>5040</v>
      </c>
      <c r="I140" s="10">
        <f>(tbl_Sales[[#This Row],[Unit price]]-tbl_Sales[[#This Row],[Unit cost]])*tbl_Sales[[#This Row],[Qty]]</f>
        <v>1440</v>
      </c>
    </row>
    <row r="141" spans="1:9" x14ac:dyDescent="0.25">
      <c r="A141" s="3">
        <v>44285</v>
      </c>
      <c r="B141" s="4" t="s">
        <v>25</v>
      </c>
      <c r="C141" s="4" t="s">
        <v>1</v>
      </c>
      <c r="D141" s="4" t="s">
        <v>8</v>
      </c>
      <c r="E141" s="4">
        <v>4</v>
      </c>
      <c r="F141" s="4">
        <v>407</v>
      </c>
      <c r="G141" s="4">
        <f>INT(F141*1.4)</f>
        <v>569</v>
      </c>
      <c r="H141" s="10">
        <f>tbl_Sales[[#This Row],[Qty]]*tbl_Sales[[#This Row],[Unit price]]</f>
        <v>2276</v>
      </c>
      <c r="I141" s="10">
        <f>(tbl_Sales[[#This Row],[Unit price]]-tbl_Sales[[#This Row],[Unit cost]])*tbl_Sales[[#This Row],[Qty]]</f>
        <v>648</v>
      </c>
    </row>
    <row r="142" spans="1:9" x14ac:dyDescent="0.25">
      <c r="A142" s="3">
        <v>44285</v>
      </c>
      <c r="B142" s="4" t="s">
        <v>25</v>
      </c>
      <c r="C142" s="4" t="s">
        <v>6</v>
      </c>
      <c r="D142" s="4" t="s">
        <v>11</v>
      </c>
      <c r="E142" s="4">
        <v>8</v>
      </c>
      <c r="F142" s="4">
        <v>407</v>
      </c>
      <c r="G142" s="4">
        <f>INT(F142*1.4)</f>
        <v>569</v>
      </c>
      <c r="H142" s="10">
        <f>tbl_Sales[[#This Row],[Qty]]*tbl_Sales[[#This Row],[Unit price]]</f>
        <v>4552</v>
      </c>
      <c r="I142" s="10">
        <f>(tbl_Sales[[#This Row],[Unit price]]-tbl_Sales[[#This Row],[Unit cost]])*tbl_Sales[[#This Row],[Qty]]</f>
        <v>1296</v>
      </c>
    </row>
    <row r="143" spans="1:9" x14ac:dyDescent="0.25">
      <c r="A143" s="3">
        <v>44278</v>
      </c>
      <c r="B143" s="4" t="s">
        <v>25</v>
      </c>
      <c r="C143" s="4" t="s">
        <v>1</v>
      </c>
      <c r="D143" s="4" t="s">
        <v>9</v>
      </c>
      <c r="E143" s="4">
        <v>13</v>
      </c>
      <c r="F143" s="4">
        <v>434</v>
      </c>
      <c r="G143" s="4">
        <f>INT(F143*1.4)</f>
        <v>607</v>
      </c>
      <c r="H143" s="10">
        <f>tbl_Sales[[#This Row],[Qty]]*tbl_Sales[[#This Row],[Unit price]]</f>
        <v>7891</v>
      </c>
      <c r="I143" s="10">
        <f>(tbl_Sales[[#This Row],[Unit price]]-tbl_Sales[[#This Row],[Unit cost]])*tbl_Sales[[#This Row],[Qty]]</f>
        <v>2249</v>
      </c>
    </row>
    <row r="144" spans="1:9" x14ac:dyDescent="0.25">
      <c r="A144" s="3">
        <v>44278</v>
      </c>
      <c r="B144" s="4" t="s">
        <v>25</v>
      </c>
      <c r="C144" s="4" t="s">
        <v>4</v>
      </c>
      <c r="D144" s="4" t="s">
        <v>10</v>
      </c>
      <c r="E144" s="4">
        <v>14</v>
      </c>
      <c r="F144" s="4">
        <v>434</v>
      </c>
      <c r="G144" s="4">
        <f>INT(F144*1.4)</f>
        <v>607</v>
      </c>
      <c r="H144" s="10">
        <f>tbl_Sales[[#This Row],[Qty]]*tbl_Sales[[#This Row],[Unit price]]</f>
        <v>8498</v>
      </c>
      <c r="I144" s="10">
        <f>(tbl_Sales[[#This Row],[Unit price]]-tbl_Sales[[#This Row],[Unit cost]])*tbl_Sales[[#This Row],[Qty]]</f>
        <v>2422</v>
      </c>
    </row>
    <row r="145" spans="1:9" x14ac:dyDescent="0.25">
      <c r="A145" s="3">
        <v>44271</v>
      </c>
      <c r="B145" s="4" t="s">
        <v>28</v>
      </c>
      <c r="C145" s="4" t="s">
        <v>6</v>
      </c>
      <c r="D145" s="4" t="s">
        <v>8</v>
      </c>
      <c r="E145" s="4">
        <v>14</v>
      </c>
      <c r="F145" s="4">
        <v>362</v>
      </c>
      <c r="G145" s="4">
        <f>INT(F145*1.4)</f>
        <v>506</v>
      </c>
      <c r="H145" s="10">
        <f>tbl_Sales[[#This Row],[Qty]]*tbl_Sales[[#This Row],[Unit price]]</f>
        <v>7084</v>
      </c>
      <c r="I145" s="10">
        <f>(tbl_Sales[[#This Row],[Unit price]]-tbl_Sales[[#This Row],[Unit cost]])*tbl_Sales[[#This Row],[Qty]]</f>
        <v>2016</v>
      </c>
    </row>
    <row r="146" spans="1:9" x14ac:dyDescent="0.25">
      <c r="A146" s="3">
        <v>44271</v>
      </c>
      <c r="B146" s="4" t="s">
        <v>28</v>
      </c>
      <c r="C146" s="4" t="s">
        <v>4</v>
      </c>
      <c r="D146" s="4" t="s">
        <v>8</v>
      </c>
      <c r="E146" s="4">
        <v>19</v>
      </c>
      <c r="F146" s="4">
        <v>362</v>
      </c>
      <c r="G146" s="4">
        <f>INT(F146*1.4)</f>
        <v>506</v>
      </c>
      <c r="H146" s="10">
        <f>tbl_Sales[[#This Row],[Qty]]*tbl_Sales[[#This Row],[Unit price]]</f>
        <v>9614</v>
      </c>
      <c r="I146" s="10">
        <f>(tbl_Sales[[#This Row],[Unit price]]-tbl_Sales[[#This Row],[Unit cost]])*tbl_Sales[[#This Row],[Qty]]</f>
        <v>2736</v>
      </c>
    </row>
    <row r="147" spans="1:9" x14ac:dyDescent="0.25">
      <c r="A147" s="3">
        <v>44264</v>
      </c>
      <c r="B147" s="4" t="s">
        <v>24</v>
      </c>
      <c r="C147" s="4" t="s">
        <v>1</v>
      </c>
      <c r="D147" s="4" t="s">
        <v>7</v>
      </c>
      <c r="E147" s="4">
        <v>24</v>
      </c>
      <c r="F147" s="4">
        <v>478</v>
      </c>
      <c r="G147" s="4">
        <f>INT(F147*1.4)</f>
        <v>669</v>
      </c>
      <c r="H147" s="10">
        <f>tbl_Sales[[#This Row],[Qty]]*tbl_Sales[[#This Row],[Unit price]]</f>
        <v>16056</v>
      </c>
      <c r="I147" s="10">
        <f>(tbl_Sales[[#This Row],[Unit price]]-tbl_Sales[[#This Row],[Unit cost]])*tbl_Sales[[#This Row],[Qty]]</f>
        <v>4584</v>
      </c>
    </row>
    <row r="148" spans="1:9" x14ac:dyDescent="0.25">
      <c r="A148" s="3">
        <v>44264</v>
      </c>
      <c r="B148" s="4" t="s">
        <v>24</v>
      </c>
      <c r="C148" s="4" t="s">
        <v>5</v>
      </c>
      <c r="D148" s="4" t="s">
        <v>7</v>
      </c>
      <c r="E148" s="4">
        <v>10</v>
      </c>
      <c r="F148" s="4">
        <v>478</v>
      </c>
      <c r="G148" s="4">
        <f>INT(F148*1.4)</f>
        <v>669</v>
      </c>
      <c r="H148" s="10">
        <f>tbl_Sales[[#This Row],[Qty]]*tbl_Sales[[#This Row],[Unit price]]</f>
        <v>6690</v>
      </c>
      <c r="I148" s="10">
        <f>(tbl_Sales[[#This Row],[Unit price]]-tbl_Sales[[#This Row],[Unit cost]])*tbl_Sales[[#This Row],[Qty]]</f>
        <v>1910</v>
      </c>
    </row>
    <row r="149" spans="1:9" x14ac:dyDescent="0.25">
      <c r="A149" s="3">
        <v>44257</v>
      </c>
      <c r="B149" s="4" t="s">
        <v>23</v>
      </c>
      <c r="C149" s="4" t="s">
        <v>4</v>
      </c>
      <c r="D149" s="4" t="s">
        <v>11</v>
      </c>
      <c r="E149" s="4">
        <v>10</v>
      </c>
      <c r="F149" s="4">
        <v>213</v>
      </c>
      <c r="G149" s="4">
        <f>INT(F149*1.4)</f>
        <v>298</v>
      </c>
      <c r="H149" s="10">
        <f>tbl_Sales[[#This Row],[Qty]]*tbl_Sales[[#This Row],[Unit price]]</f>
        <v>2980</v>
      </c>
      <c r="I149" s="10">
        <f>(tbl_Sales[[#This Row],[Unit price]]-tbl_Sales[[#This Row],[Unit cost]])*tbl_Sales[[#This Row],[Qty]]</f>
        <v>850</v>
      </c>
    </row>
    <row r="150" spans="1:9" x14ac:dyDescent="0.25">
      <c r="A150" s="3">
        <v>44257</v>
      </c>
      <c r="B150" s="4" t="s">
        <v>23</v>
      </c>
      <c r="C150" s="4" t="s">
        <v>4</v>
      </c>
      <c r="D150" s="4" t="s">
        <v>9</v>
      </c>
      <c r="E150" s="4">
        <v>5</v>
      </c>
      <c r="F150" s="4">
        <v>213</v>
      </c>
      <c r="G150" s="4">
        <f>INT(F150*1.4)</f>
        <v>298</v>
      </c>
      <c r="H150" s="10">
        <f>tbl_Sales[[#This Row],[Qty]]*tbl_Sales[[#This Row],[Unit price]]</f>
        <v>1490</v>
      </c>
      <c r="I150" s="10">
        <f>(tbl_Sales[[#This Row],[Unit price]]-tbl_Sales[[#This Row],[Unit cost]])*tbl_Sales[[#This Row],[Qty]]</f>
        <v>425</v>
      </c>
    </row>
    <row r="151" spans="1:9" x14ac:dyDescent="0.25">
      <c r="A151" s="3">
        <v>44250</v>
      </c>
      <c r="B151" s="4" t="s">
        <v>22</v>
      </c>
      <c r="C151" s="4" t="s">
        <v>4</v>
      </c>
      <c r="D151" s="4" t="s">
        <v>10</v>
      </c>
      <c r="E151" s="4">
        <v>12</v>
      </c>
      <c r="F151" s="4">
        <v>472</v>
      </c>
      <c r="G151" s="4">
        <f>INT(F151*1.4)</f>
        <v>660</v>
      </c>
      <c r="H151" s="10">
        <f>tbl_Sales[[#This Row],[Qty]]*tbl_Sales[[#This Row],[Unit price]]</f>
        <v>7920</v>
      </c>
      <c r="I151" s="10">
        <f>(tbl_Sales[[#This Row],[Unit price]]-tbl_Sales[[#This Row],[Unit cost]])*tbl_Sales[[#This Row],[Qty]]</f>
        <v>2256</v>
      </c>
    </row>
    <row r="152" spans="1:9" x14ac:dyDescent="0.25">
      <c r="A152" s="3">
        <v>44250</v>
      </c>
      <c r="B152" s="4" t="s">
        <v>22</v>
      </c>
      <c r="C152" s="4" t="s">
        <v>4</v>
      </c>
      <c r="D152" s="4" t="s">
        <v>10</v>
      </c>
      <c r="E152" s="4">
        <v>12</v>
      </c>
      <c r="F152" s="4">
        <v>472</v>
      </c>
      <c r="G152" s="4">
        <f>INT(F152*1.4)</f>
        <v>660</v>
      </c>
      <c r="H152" s="10">
        <f>tbl_Sales[[#This Row],[Qty]]*tbl_Sales[[#This Row],[Unit price]]</f>
        <v>7920</v>
      </c>
      <c r="I152" s="10">
        <f>(tbl_Sales[[#This Row],[Unit price]]-tbl_Sales[[#This Row],[Unit cost]])*tbl_Sales[[#This Row],[Qty]]</f>
        <v>2256</v>
      </c>
    </row>
    <row r="153" spans="1:9" x14ac:dyDescent="0.25">
      <c r="A153" s="3">
        <v>44243</v>
      </c>
      <c r="B153" s="4" t="s">
        <v>21</v>
      </c>
      <c r="C153" s="4" t="s">
        <v>1</v>
      </c>
      <c r="D153" s="4" t="s">
        <v>11</v>
      </c>
      <c r="E153" s="4">
        <v>20</v>
      </c>
      <c r="F153" s="4">
        <v>255</v>
      </c>
      <c r="G153" s="4">
        <f>INT(F153*1.4)</f>
        <v>357</v>
      </c>
      <c r="H153" s="10">
        <f>tbl_Sales[[#This Row],[Qty]]*tbl_Sales[[#This Row],[Unit price]]</f>
        <v>7140</v>
      </c>
      <c r="I153" s="10">
        <f>(tbl_Sales[[#This Row],[Unit price]]-tbl_Sales[[#This Row],[Unit cost]])*tbl_Sales[[#This Row],[Qty]]</f>
        <v>2040</v>
      </c>
    </row>
    <row r="154" spans="1:9" x14ac:dyDescent="0.25">
      <c r="A154" s="3">
        <v>44243</v>
      </c>
      <c r="B154" s="4" t="s">
        <v>21</v>
      </c>
      <c r="C154" s="4" t="s">
        <v>1</v>
      </c>
      <c r="D154" s="4" t="s">
        <v>10</v>
      </c>
      <c r="E154" s="4">
        <v>5</v>
      </c>
      <c r="F154" s="4">
        <v>255</v>
      </c>
      <c r="G154" s="4">
        <f>INT(F154*1.4)</f>
        <v>357</v>
      </c>
      <c r="H154" s="10">
        <f>tbl_Sales[[#This Row],[Qty]]*tbl_Sales[[#This Row],[Unit price]]</f>
        <v>1785</v>
      </c>
      <c r="I154" s="10">
        <f>(tbl_Sales[[#This Row],[Unit price]]-tbl_Sales[[#This Row],[Unit cost]])*tbl_Sales[[#This Row],[Qty]]</f>
        <v>510</v>
      </c>
    </row>
    <row r="155" spans="1:9" x14ac:dyDescent="0.25">
      <c r="A155" s="3">
        <v>44236</v>
      </c>
      <c r="B155" s="4" t="s">
        <v>20</v>
      </c>
      <c r="C155" s="4" t="s">
        <v>1</v>
      </c>
      <c r="D155" s="4" t="s">
        <v>10</v>
      </c>
      <c r="E155" s="4">
        <v>23</v>
      </c>
      <c r="F155" s="4">
        <v>278</v>
      </c>
      <c r="G155" s="4">
        <f>INT(F155*1.4)</f>
        <v>389</v>
      </c>
      <c r="H155" s="10">
        <f>tbl_Sales[[#This Row],[Qty]]*tbl_Sales[[#This Row],[Unit price]]</f>
        <v>8947</v>
      </c>
      <c r="I155" s="10">
        <f>(tbl_Sales[[#This Row],[Unit price]]-tbl_Sales[[#This Row],[Unit cost]])*tbl_Sales[[#This Row],[Qty]]</f>
        <v>2553</v>
      </c>
    </row>
    <row r="156" spans="1:9" x14ac:dyDescent="0.25">
      <c r="A156" s="3">
        <v>44236</v>
      </c>
      <c r="B156" s="4" t="s">
        <v>20</v>
      </c>
      <c r="C156" s="4" t="s">
        <v>6</v>
      </c>
      <c r="D156" s="4" t="s">
        <v>9</v>
      </c>
      <c r="E156" s="4">
        <v>14</v>
      </c>
      <c r="F156" s="4">
        <v>278</v>
      </c>
      <c r="G156" s="4">
        <f>INT(F156*1.4)</f>
        <v>389</v>
      </c>
      <c r="H156" s="10">
        <f>tbl_Sales[[#This Row],[Qty]]*tbl_Sales[[#This Row],[Unit price]]</f>
        <v>5446</v>
      </c>
      <c r="I156" s="10">
        <f>(tbl_Sales[[#This Row],[Unit price]]-tbl_Sales[[#This Row],[Unit cost]])*tbl_Sales[[#This Row],[Qty]]</f>
        <v>1554</v>
      </c>
    </row>
    <row r="157" spans="1:9" x14ac:dyDescent="0.25">
      <c r="A157" s="3">
        <v>44229</v>
      </c>
      <c r="B157" s="4" t="s">
        <v>19</v>
      </c>
      <c r="C157" s="4" t="s">
        <v>1</v>
      </c>
      <c r="D157" s="4" t="s">
        <v>7</v>
      </c>
      <c r="E157" s="4">
        <v>11</v>
      </c>
      <c r="F157" s="4">
        <v>206</v>
      </c>
      <c r="G157" s="4">
        <f>INT(F157*1.4)</f>
        <v>288</v>
      </c>
      <c r="H157" s="10">
        <f>tbl_Sales[[#This Row],[Qty]]*tbl_Sales[[#This Row],[Unit price]]</f>
        <v>3168</v>
      </c>
      <c r="I157" s="10">
        <f>(tbl_Sales[[#This Row],[Unit price]]-tbl_Sales[[#This Row],[Unit cost]])*tbl_Sales[[#This Row],[Qty]]</f>
        <v>902</v>
      </c>
    </row>
    <row r="158" spans="1:9" x14ac:dyDescent="0.25">
      <c r="A158" s="3">
        <v>44229</v>
      </c>
      <c r="B158" s="4" t="s">
        <v>19</v>
      </c>
      <c r="C158" s="4" t="s">
        <v>4</v>
      </c>
      <c r="D158" s="4" t="s">
        <v>9</v>
      </c>
      <c r="E158" s="4">
        <v>12</v>
      </c>
      <c r="F158" s="4">
        <v>206</v>
      </c>
      <c r="G158" s="4">
        <f>INT(F158*1.4)</f>
        <v>288</v>
      </c>
      <c r="H158" s="10">
        <f>tbl_Sales[[#This Row],[Qty]]*tbl_Sales[[#This Row],[Unit price]]</f>
        <v>3456</v>
      </c>
      <c r="I158" s="10">
        <f>(tbl_Sales[[#This Row],[Unit price]]-tbl_Sales[[#This Row],[Unit cost]])*tbl_Sales[[#This Row],[Qty]]</f>
        <v>984</v>
      </c>
    </row>
    <row r="159" spans="1:9" x14ac:dyDescent="0.25">
      <c r="A159" s="3">
        <v>44222</v>
      </c>
      <c r="B159" s="4" t="s">
        <v>18</v>
      </c>
      <c r="C159" s="4" t="s">
        <v>5</v>
      </c>
      <c r="D159" s="4" t="s">
        <v>9</v>
      </c>
      <c r="E159" s="4">
        <v>9</v>
      </c>
      <c r="F159" s="4">
        <v>474</v>
      </c>
      <c r="G159" s="4">
        <f>INT(F159*1.4)</f>
        <v>663</v>
      </c>
      <c r="H159" s="10">
        <f>tbl_Sales[[#This Row],[Qty]]*tbl_Sales[[#This Row],[Unit price]]</f>
        <v>5967</v>
      </c>
      <c r="I159" s="10">
        <f>(tbl_Sales[[#This Row],[Unit price]]-tbl_Sales[[#This Row],[Unit cost]])*tbl_Sales[[#This Row],[Qty]]</f>
        <v>1701</v>
      </c>
    </row>
    <row r="160" spans="1:9" x14ac:dyDescent="0.25">
      <c r="A160" s="3">
        <v>44222</v>
      </c>
      <c r="B160" s="4" t="s">
        <v>18</v>
      </c>
      <c r="C160" s="4" t="s">
        <v>5</v>
      </c>
      <c r="D160" s="4" t="s">
        <v>8</v>
      </c>
      <c r="E160" s="4">
        <v>5</v>
      </c>
      <c r="F160" s="4">
        <v>474</v>
      </c>
      <c r="G160" s="4">
        <f>INT(F160*1.4)</f>
        <v>663</v>
      </c>
      <c r="H160" s="10">
        <f>tbl_Sales[[#This Row],[Qty]]*tbl_Sales[[#This Row],[Unit price]]</f>
        <v>3315</v>
      </c>
      <c r="I160" s="10">
        <f>(tbl_Sales[[#This Row],[Unit price]]-tbl_Sales[[#This Row],[Unit cost]])*tbl_Sales[[#This Row],[Qty]]</f>
        <v>945</v>
      </c>
    </row>
    <row r="161" spans="1:9" x14ac:dyDescent="0.25">
      <c r="A161" s="3">
        <v>44215</v>
      </c>
      <c r="B161" s="4" t="s">
        <v>17</v>
      </c>
      <c r="C161" s="4" t="s">
        <v>6</v>
      </c>
      <c r="D161" s="4" t="s">
        <v>10</v>
      </c>
      <c r="E161" s="4">
        <v>7</v>
      </c>
      <c r="F161" s="4">
        <v>228</v>
      </c>
      <c r="G161" s="4">
        <f>INT(F161*1.4)</f>
        <v>319</v>
      </c>
      <c r="H161" s="10">
        <f>tbl_Sales[[#This Row],[Qty]]*tbl_Sales[[#This Row],[Unit price]]</f>
        <v>2233</v>
      </c>
      <c r="I161" s="10">
        <f>(tbl_Sales[[#This Row],[Unit price]]-tbl_Sales[[#This Row],[Unit cost]])*tbl_Sales[[#This Row],[Qty]]</f>
        <v>637</v>
      </c>
    </row>
    <row r="162" spans="1:9" x14ac:dyDescent="0.25">
      <c r="A162" s="3">
        <v>44215</v>
      </c>
      <c r="B162" s="4" t="s">
        <v>17</v>
      </c>
      <c r="C162" s="4" t="s">
        <v>5</v>
      </c>
      <c r="D162" s="4" t="s">
        <v>7</v>
      </c>
      <c r="E162" s="4">
        <v>2</v>
      </c>
      <c r="F162" s="4">
        <v>228</v>
      </c>
      <c r="G162" s="4">
        <f>INT(F162*1.4)</f>
        <v>319</v>
      </c>
      <c r="H162" s="10">
        <f>tbl_Sales[[#This Row],[Qty]]*tbl_Sales[[#This Row],[Unit price]]</f>
        <v>638</v>
      </c>
      <c r="I162" s="10">
        <f>(tbl_Sales[[#This Row],[Unit price]]-tbl_Sales[[#This Row],[Unit cost]])*tbl_Sales[[#This Row],[Qty]]</f>
        <v>182</v>
      </c>
    </row>
    <row r="163" spans="1:9" x14ac:dyDescent="0.25">
      <c r="A163" s="3">
        <v>44208</v>
      </c>
      <c r="B163" s="4" t="s">
        <v>16</v>
      </c>
      <c r="C163" s="4" t="s">
        <v>4</v>
      </c>
      <c r="D163" s="4" t="s">
        <v>7</v>
      </c>
      <c r="E163" s="4">
        <v>8</v>
      </c>
      <c r="F163" s="4">
        <v>360</v>
      </c>
      <c r="G163" s="4">
        <f>INT(F163*1.4)</f>
        <v>504</v>
      </c>
      <c r="H163" s="10">
        <f>tbl_Sales[[#This Row],[Qty]]*tbl_Sales[[#This Row],[Unit price]]</f>
        <v>4032</v>
      </c>
      <c r="I163" s="10">
        <f>(tbl_Sales[[#This Row],[Unit price]]-tbl_Sales[[#This Row],[Unit cost]])*tbl_Sales[[#This Row],[Qty]]</f>
        <v>1152</v>
      </c>
    </row>
    <row r="164" spans="1:9" x14ac:dyDescent="0.25">
      <c r="A164" s="5">
        <v>44208</v>
      </c>
      <c r="B164" s="6" t="s">
        <v>16</v>
      </c>
      <c r="C164" s="4" t="s">
        <v>5</v>
      </c>
      <c r="D164" s="4" t="s">
        <v>8</v>
      </c>
      <c r="E164" s="6">
        <v>4</v>
      </c>
      <c r="F164" s="6">
        <v>360</v>
      </c>
      <c r="G164" s="6">
        <f>INT(F164*1.4)</f>
        <v>504</v>
      </c>
      <c r="H164" s="10">
        <f>tbl_Sales[[#This Row],[Qty]]*tbl_Sales[[#This Row],[Unit price]]</f>
        <v>2016</v>
      </c>
      <c r="I164" s="10">
        <f>(tbl_Sales[[#This Row],[Unit price]]-tbl_Sales[[#This Row],[Unit cost]])*tbl_Sales[[#This Row],[Qty]]</f>
        <v>576</v>
      </c>
    </row>
    <row r="165" spans="1:9" x14ac:dyDescent="0.25">
      <c r="A165" s="3">
        <v>44836</v>
      </c>
      <c r="B165" s="9" t="s">
        <v>25</v>
      </c>
      <c r="C165" s="4" t="s">
        <v>4</v>
      </c>
      <c r="D165" s="4" t="s">
        <v>7</v>
      </c>
      <c r="E165" s="9">
        <v>15</v>
      </c>
      <c r="F165" s="4">
        <v>360</v>
      </c>
      <c r="G165" s="4">
        <v>315</v>
      </c>
      <c r="H165" s="18">
        <f>tbl_Sales[[#This Row],[Qty]]*tbl_Sales[[#This Row],[Unit price]]</f>
        <v>4725</v>
      </c>
      <c r="I165" s="18">
        <f>(tbl_Sales[[#This Row],[Unit price]]-tbl_Sales[[#This Row],[Unit cost]])*tbl_Sales[[#This Row],[Qty]]</f>
        <v>-675</v>
      </c>
    </row>
    <row r="166" spans="1:9" x14ac:dyDescent="0.25">
      <c r="A166" s="3">
        <v>44836</v>
      </c>
      <c r="B166" s="9" t="s">
        <v>16</v>
      </c>
      <c r="C166" s="4" t="s">
        <v>4</v>
      </c>
      <c r="D166" s="4" t="s">
        <v>8</v>
      </c>
      <c r="E166" s="9">
        <v>8</v>
      </c>
      <c r="F166" s="4">
        <v>360</v>
      </c>
      <c r="G166" s="4">
        <v>663</v>
      </c>
      <c r="H166" s="19">
        <f>tbl_Sales[[#This Row],[Qty]]*tbl_Sales[[#This Row],[Unit price]]</f>
        <v>5304</v>
      </c>
      <c r="I166" s="19">
        <f>(tbl_Sales[[#This Row],[Unit price]]-tbl_Sales[[#This Row],[Unit cost]])*tbl_Sales[[#This Row],[Qty]]</f>
        <v>2424</v>
      </c>
    </row>
    <row r="167" spans="1:9" x14ac:dyDescent="0.25">
      <c r="A167" s="3">
        <v>44836</v>
      </c>
      <c r="B167" s="9" t="s">
        <v>29</v>
      </c>
      <c r="C167" s="4" t="s">
        <v>5</v>
      </c>
      <c r="D167" s="4" t="s">
        <v>11</v>
      </c>
      <c r="E167" s="9">
        <v>2</v>
      </c>
      <c r="F167" s="4">
        <v>265</v>
      </c>
      <c r="G167" s="4">
        <f>INT(F167*1.5)</f>
        <v>397</v>
      </c>
      <c r="H167" s="19">
        <f>tbl_Sales[[#This Row],[Qty]]*tbl_Sales[[#This Row],[Unit price]]</f>
        <v>794</v>
      </c>
      <c r="I167" s="19">
        <f>(tbl_Sales[[#This Row],[Unit price]]-tbl_Sales[[#This Row],[Unit cost]])*tbl_Sales[[#This Row],[Qty]]</f>
        <v>264</v>
      </c>
    </row>
    <row r="168" spans="1:9" x14ac:dyDescent="0.25">
      <c r="A168" s="3">
        <v>44837</v>
      </c>
      <c r="B168" s="9" t="s">
        <v>21</v>
      </c>
      <c r="C168" s="4" t="s">
        <v>4</v>
      </c>
      <c r="D168" s="4" t="s">
        <v>11</v>
      </c>
      <c r="E168" s="9">
        <v>3</v>
      </c>
      <c r="F168" s="4">
        <v>224</v>
      </c>
      <c r="G168" s="4">
        <v>205</v>
      </c>
      <c r="H168" s="19">
        <f>tbl_Sales[[#This Row],[Qty]]*tbl_Sales[[#This Row],[Unit price]]</f>
        <v>615</v>
      </c>
      <c r="I168" s="19">
        <f>(tbl_Sales[[#This Row],[Unit price]]-tbl_Sales[[#This Row],[Unit cost]])*tbl_Sales[[#This Row],[Qty]]</f>
        <v>-57</v>
      </c>
    </row>
    <row r="169" spans="1:9" x14ac:dyDescent="0.25">
      <c r="A169" s="3">
        <v>44837</v>
      </c>
      <c r="B169" s="9" t="s">
        <v>23</v>
      </c>
      <c r="C169" s="4" t="s">
        <v>1</v>
      </c>
      <c r="D169" s="4" t="s">
        <v>8</v>
      </c>
      <c r="E169" s="9">
        <v>11</v>
      </c>
      <c r="F169" s="4">
        <v>228</v>
      </c>
      <c r="G169" s="4">
        <f>INT(F169*1.5)</f>
        <v>342</v>
      </c>
      <c r="H169" s="19">
        <f>tbl_Sales[[#This Row],[Qty]]*tbl_Sales[[#This Row],[Unit price]]</f>
        <v>3762</v>
      </c>
      <c r="I169" s="19">
        <f>(tbl_Sales[[#This Row],[Unit price]]-tbl_Sales[[#This Row],[Unit cost]])*tbl_Sales[[#This Row],[Qty]]</f>
        <v>1254</v>
      </c>
    </row>
    <row r="170" spans="1:9" x14ac:dyDescent="0.25">
      <c r="A170" s="3">
        <v>44837</v>
      </c>
      <c r="B170" s="9" t="s">
        <v>25</v>
      </c>
      <c r="C170" s="4" t="s">
        <v>1</v>
      </c>
      <c r="D170" s="4" t="s">
        <v>11</v>
      </c>
      <c r="E170" s="9">
        <v>3</v>
      </c>
      <c r="F170" s="4">
        <v>224</v>
      </c>
      <c r="G170" s="4">
        <f>INT(F170*1.5)</f>
        <v>336</v>
      </c>
      <c r="H170" s="19">
        <f>tbl_Sales[[#This Row],[Qty]]*tbl_Sales[[#This Row],[Unit price]]</f>
        <v>1008</v>
      </c>
      <c r="I170" s="19">
        <f>(tbl_Sales[[#This Row],[Unit price]]-tbl_Sales[[#This Row],[Unit cost]])*tbl_Sales[[#This Row],[Qty]]</f>
        <v>336</v>
      </c>
    </row>
    <row r="171" spans="1:9" x14ac:dyDescent="0.25">
      <c r="A171" s="3">
        <v>44843</v>
      </c>
      <c r="B171" s="9" t="s">
        <v>30</v>
      </c>
      <c r="C171" s="4" t="s">
        <v>4</v>
      </c>
      <c r="D171" s="4" t="s">
        <v>9</v>
      </c>
      <c r="E171" s="9">
        <v>3</v>
      </c>
      <c r="F171" s="4">
        <v>270</v>
      </c>
      <c r="G171" s="4">
        <v>546</v>
      </c>
      <c r="H171" s="19">
        <f>tbl_Sales[[#This Row],[Qty]]*tbl_Sales[[#This Row],[Unit price]]</f>
        <v>1638</v>
      </c>
      <c r="I171" s="19">
        <f>(tbl_Sales[[#This Row],[Unit price]]-tbl_Sales[[#This Row],[Unit cost]])*tbl_Sales[[#This Row],[Qty]]</f>
        <v>828</v>
      </c>
    </row>
    <row r="172" spans="1:9" x14ac:dyDescent="0.25">
      <c r="A172" s="3">
        <v>44843</v>
      </c>
      <c r="B172" s="9" t="s">
        <v>27</v>
      </c>
      <c r="C172" s="4" t="s">
        <v>4</v>
      </c>
      <c r="D172" s="4" t="s">
        <v>9</v>
      </c>
      <c r="E172" s="9">
        <v>9</v>
      </c>
      <c r="F172" s="4">
        <v>474</v>
      </c>
      <c r="G172" s="4">
        <f>INT(F172*1.5)</f>
        <v>711</v>
      </c>
      <c r="H172" s="19">
        <f>tbl_Sales[[#This Row],[Qty]]*tbl_Sales[[#This Row],[Unit price]]</f>
        <v>6399</v>
      </c>
      <c r="I172" s="19">
        <f>(tbl_Sales[[#This Row],[Unit price]]-tbl_Sales[[#This Row],[Unit cost]])*tbl_Sales[[#This Row],[Qty]]</f>
        <v>2133</v>
      </c>
    </row>
    <row r="173" spans="1:9" x14ac:dyDescent="0.25">
      <c r="A173" s="3">
        <v>44843</v>
      </c>
      <c r="B173" s="9" t="s">
        <v>26</v>
      </c>
      <c r="C173" s="4" t="s">
        <v>6</v>
      </c>
      <c r="D173" s="4" t="s">
        <v>9</v>
      </c>
      <c r="E173" s="9">
        <v>5</v>
      </c>
      <c r="F173" s="4">
        <v>270</v>
      </c>
      <c r="G173" s="4">
        <f>INT(F173*1.5)</f>
        <v>405</v>
      </c>
      <c r="H173" s="19">
        <f>tbl_Sales[[#This Row],[Qty]]*tbl_Sales[[#This Row],[Unit price]]</f>
        <v>2025</v>
      </c>
      <c r="I173" s="19">
        <f>(tbl_Sales[[#This Row],[Unit price]]-tbl_Sales[[#This Row],[Unit cost]])*tbl_Sales[[#This Row],[Qty]]</f>
        <v>675</v>
      </c>
    </row>
    <row r="174" spans="1:9" x14ac:dyDescent="0.25">
      <c r="A174" s="3">
        <v>44849</v>
      </c>
      <c r="B174" s="9" t="s">
        <v>25</v>
      </c>
      <c r="C174" s="4" t="s">
        <v>5</v>
      </c>
      <c r="D174" s="4" t="s">
        <v>8</v>
      </c>
      <c r="E174" s="9">
        <v>3</v>
      </c>
      <c r="F174" s="4">
        <v>228</v>
      </c>
      <c r="G174" s="4">
        <v>392</v>
      </c>
      <c r="H174" s="19">
        <f>tbl_Sales[[#This Row],[Qty]]*tbl_Sales[[#This Row],[Unit price]]</f>
        <v>1176</v>
      </c>
      <c r="I174" s="19">
        <f>(tbl_Sales[[#This Row],[Unit price]]-tbl_Sales[[#This Row],[Unit cost]])*tbl_Sales[[#This Row],[Qty]]</f>
        <v>492</v>
      </c>
    </row>
    <row r="175" spans="1:9" x14ac:dyDescent="0.25">
      <c r="A175" s="3">
        <v>44849</v>
      </c>
      <c r="B175" s="9" t="s">
        <v>22</v>
      </c>
      <c r="C175" s="4" t="s">
        <v>1</v>
      </c>
      <c r="D175" s="4" t="s">
        <v>7</v>
      </c>
      <c r="E175" s="9">
        <v>7</v>
      </c>
      <c r="F175" s="4">
        <v>385</v>
      </c>
      <c r="G175" s="4">
        <v>498</v>
      </c>
      <c r="H175" s="19">
        <f>tbl_Sales[[#This Row],[Qty]]*tbl_Sales[[#This Row],[Unit price]]</f>
        <v>3486</v>
      </c>
      <c r="I175" s="19">
        <f>(tbl_Sales[[#This Row],[Unit price]]-tbl_Sales[[#This Row],[Unit cost]])*tbl_Sales[[#This Row],[Qty]]</f>
        <v>791</v>
      </c>
    </row>
    <row r="176" spans="1:9" x14ac:dyDescent="0.25">
      <c r="A176" s="3">
        <v>44849</v>
      </c>
      <c r="B176" s="9" t="s">
        <v>24</v>
      </c>
      <c r="C176" s="4" t="s">
        <v>1</v>
      </c>
      <c r="D176" s="4" t="s">
        <v>9</v>
      </c>
      <c r="E176" s="9">
        <v>5</v>
      </c>
      <c r="F176" s="4">
        <v>228</v>
      </c>
      <c r="G176" s="4">
        <f>INT(F176*1.5)</f>
        <v>342</v>
      </c>
      <c r="H176" s="19">
        <f>tbl_Sales[[#This Row],[Qty]]*tbl_Sales[[#This Row],[Unit price]]</f>
        <v>1710</v>
      </c>
      <c r="I176" s="19">
        <f>(tbl_Sales[[#This Row],[Unit price]]-tbl_Sales[[#This Row],[Unit cost]])*tbl_Sales[[#This Row],[Qty]]</f>
        <v>570</v>
      </c>
    </row>
    <row r="177" spans="1:9" x14ac:dyDescent="0.25">
      <c r="A177" s="3">
        <v>44849</v>
      </c>
      <c r="B177" s="9" t="s">
        <v>24</v>
      </c>
      <c r="C177" s="4" t="s">
        <v>1</v>
      </c>
      <c r="D177" s="4" t="s">
        <v>11</v>
      </c>
      <c r="E177" s="9">
        <v>5</v>
      </c>
      <c r="F177" s="4">
        <v>362</v>
      </c>
      <c r="G177" s="4">
        <f>INT(F177*1.5)</f>
        <v>543</v>
      </c>
      <c r="H177" s="19">
        <f>tbl_Sales[[#This Row],[Qty]]*tbl_Sales[[#This Row],[Unit price]]</f>
        <v>2715</v>
      </c>
      <c r="I177" s="19">
        <f>(tbl_Sales[[#This Row],[Unit price]]-tbl_Sales[[#This Row],[Unit cost]])*tbl_Sales[[#This Row],[Qty]]</f>
        <v>905</v>
      </c>
    </row>
    <row r="178" spans="1:9" x14ac:dyDescent="0.25">
      <c r="A178" s="3">
        <v>44849</v>
      </c>
      <c r="B178" s="9" t="s">
        <v>25</v>
      </c>
      <c r="C178" s="4" t="s">
        <v>4</v>
      </c>
      <c r="D178" s="4" t="s">
        <v>8</v>
      </c>
      <c r="E178" s="9">
        <v>8</v>
      </c>
      <c r="F178" s="4">
        <v>427</v>
      </c>
      <c r="G178" s="4">
        <f>INT(F178*1.5)</f>
        <v>640</v>
      </c>
      <c r="H178" s="19">
        <f>tbl_Sales[[#This Row],[Qty]]*tbl_Sales[[#This Row],[Unit price]]</f>
        <v>5120</v>
      </c>
      <c r="I178" s="19">
        <f>(tbl_Sales[[#This Row],[Unit price]]-tbl_Sales[[#This Row],[Unit cost]])*tbl_Sales[[#This Row],[Qty]]</f>
        <v>1704</v>
      </c>
    </row>
    <row r="179" spans="1:9" x14ac:dyDescent="0.25">
      <c r="A179" s="3">
        <v>44849</v>
      </c>
      <c r="B179" s="9" t="s">
        <v>30</v>
      </c>
      <c r="C179" s="4" t="s">
        <v>4</v>
      </c>
      <c r="D179" s="4" t="s">
        <v>10</v>
      </c>
      <c r="E179" s="9">
        <v>1</v>
      </c>
      <c r="F179" s="4">
        <v>385</v>
      </c>
      <c r="G179" s="4">
        <f>INT(F179*1.5)</f>
        <v>577</v>
      </c>
      <c r="H179" s="19">
        <f>tbl_Sales[[#This Row],[Qty]]*tbl_Sales[[#This Row],[Unit price]]</f>
        <v>577</v>
      </c>
      <c r="I179" s="19">
        <f>(tbl_Sales[[#This Row],[Unit price]]-tbl_Sales[[#This Row],[Unit cost]])*tbl_Sales[[#This Row],[Qty]]</f>
        <v>192</v>
      </c>
    </row>
    <row r="180" spans="1:9" x14ac:dyDescent="0.25">
      <c r="A180" s="3">
        <v>44855</v>
      </c>
      <c r="B180" s="9" t="s">
        <v>17</v>
      </c>
      <c r="C180" s="4" t="s">
        <v>5</v>
      </c>
      <c r="D180" s="4" t="s">
        <v>7</v>
      </c>
      <c r="E180" s="9">
        <v>1</v>
      </c>
      <c r="F180" s="4">
        <v>105</v>
      </c>
      <c r="G180" s="4">
        <v>504</v>
      </c>
      <c r="H180" s="19">
        <f>tbl_Sales[[#This Row],[Qty]]*tbl_Sales[[#This Row],[Unit price]]</f>
        <v>504</v>
      </c>
      <c r="I180" s="19">
        <f>(tbl_Sales[[#This Row],[Unit price]]-tbl_Sales[[#This Row],[Unit cost]])*tbl_Sales[[#This Row],[Qty]]</f>
        <v>399</v>
      </c>
    </row>
    <row r="181" spans="1:9" x14ac:dyDescent="0.25">
      <c r="A181" s="3">
        <v>44855</v>
      </c>
      <c r="B181" s="9" t="s">
        <v>29</v>
      </c>
      <c r="C181" s="4" t="s">
        <v>6</v>
      </c>
      <c r="D181" s="4" t="s">
        <v>9</v>
      </c>
      <c r="E181" s="9">
        <v>2</v>
      </c>
      <c r="F181" s="4">
        <v>434</v>
      </c>
      <c r="G181" s="4">
        <f>INT(F181*1.5)</f>
        <v>651</v>
      </c>
      <c r="H181" s="19">
        <f>tbl_Sales[[#This Row],[Qty]]*tbl_Sales[[#This Row],[Unit price]]</f>
        <v>1302</v>
      </c>
      <c r="I181" s="19">
        <f>(tbl_Sales[[#This Row],[Unit price]]-tbl_Sales[[#This Row],[Unit cost]])*tbl_Sales[[#This Row],[Qty]]</f>
        <v>434</v>
      </c>
    </row>
    <row r="182" spans="1:9" x14ac:dyDescent="0.25">
      <c r="A182" s="3">
        <v>44855</v>
      </c>
      <c r="B182" s="9" t="s">
        <v>17</v>
      </c>
      <c r="C182" s="4" t="s">
        <v>5</v>
      </c>
      <c r="D182" s="4" t="s">
        <v>11</v>
      </c>
      <c r="E182" s="9">
        <v>19</v>
      </c>
      <c r="F182" s="4">
        <v>105</v>
      </c>
      <c r="G182" s="4">
        <f>INT(F182*1.5)</f>
        <v>157</v>
      </c>
      <c r="H182" s="19">
        <f>tbl_Sales[[#This Row],[Qty]]*tbl_Sales[[#This Row],[Unit price]]</f>
        <v>2983</v>
      </c>
      <c r="I182" s="19">
        <f>(tbl_Sales[[#This Row],[Unit price]]-tbl_Sales[[#This Row],[Unit cost]])*tbl_Sales[[#This Row],[Qty]]</f>
        <v>988</v>
      </c>
    </row>
    <row r="183" spans="1:9" x14ac:dyDescent="0.25">
      <c r="A183" s="3">
        <v>44857</v>
      </c>
      <c r="B183" s="9" t="s">
        <v>25</v>
      </c>
      <c r="C183" s="4" t="s">
        <v>6</v>
      </c>
      <c r="D183" s="4" t="s">
        <v>10</v>
      </c>
      <c r="E183" s="9">
        <v>8</v>
      </c>
      <c r="F183" s="4">
        <v>474</v>
      </c>
      <c r="G183" s="4">
        <v>417</v>
      </c>
      <c r="H183" s="19">
        <f>tbl_Sales[[#This Row],[Qty]]*tbl_Sales[[#This Row],[Unit price]]</f>
        <v>3336</v>
      </c>
      <c r="I183" s="19">
        <f>(tbl_Sales[[#This Row],[Unit price]]-tbl_Sales[[#This Row],[Unit cost]])*tbl_Sales[[#This Row],[Qty]]</f>
        <v>-456</v>
      </c>
    </row>
    <row r="184" spans="1:9" x14ac:dyDescent="0.25">
      <c r="A184" s="3">
        <v>44857</v>
      </c>
      <c r="B184" s="9" t="s">
        <v>17</v>
      </c>
      <c r="C184" s="4" t="s">
        <v>4</v>
      </c>
      <c r="D184" s="4" t="s">
        <v>10</v>
      </c>
      <c r="E184" s="9">
        <v>10</v>
      </c>
      <c r="F184" s="4">
        <v>474</v>
      </c>
      <c r="G184" s="4">
        <f>INT(F184*1.5)</f>
        <v>711</v>
      </c>
      <c r="H184" s="19">
        <f>tbl_Sales[[#This Row],[Qty]]*tbl_Sales[[#This Row],[Unit price]]</f>
        <v>7110</v>
      </c>
      <c r="I184" s="19">
        <f>(tbl_Sales[[#This Row],[Unit price]]-tbl_Sales[[#This Row],[Unit cost]])*tbl_Sales[[#This Row],[Qty]]</f>
        <v>2370</v>
      </c>
    </row>
    <row r="185" spans="1:9" x14ac:dyDescent="0.25">
      <c r="A185" s="3">
        <v>44857</v>
      </c>
      <c r="B185" s="9" t="s">
        <v>30</v>
      </c>
      <c r="C185" s="4" t="s">
        <v>6</v>
      </c>
      <c r="D185" s="4" t="s">
        <v>7</v>
      </c>
      <c r="E185" s="9">
        <v>4</v>
      </c>
      <c r="F185" s="4">
        <v>224</v>
      </c>
      <c r="G185" s="4">
        <f>INT(F185*1.5)</f>
        <v>336</v>
      </c>
      <c r="H185" s="19">
        <f>tbl_Sales[[#This Row],[Qty]]*tbl_Sales[[#This Row],[Unit price]]</f>
        <v>1344</v>
      </c>
      <c r="I185" s="19">
        <f>(tbl_Sales[[#This Row],[Unit price]]-tbl_Sales[[#This Row],[Unit cost]])*tbl_Sales[[#This Row],[Qty]]</f>
        <v>448</v>
      </c>
    </row>
    <row r="186" spans="1:9" x14ac:dyDescent="0.25">
      <c r="A186" s="3">
        <v>44861</v>
      </c>
      <c r="B186" s="9" t="s">
        <v>23</v>
      </c>
      <c r="C186" s="4" t="s">
        <v>6</v>
      </c>
      <c r="D186" s="4" t="s">
        <v>8</v>
      </c>
      <c r="E186" s="9">
        <v>10</v>
      </c>
      <c r="F186" s="4">
        <v>382</v>
      </c>
      <c r="G186" s="4">
        <v>319</v>
      </c>
      <c r="H186" s="19">
        <f>tbl_Sales[[#This Row],[Qty]]*tbl_Sales[[#This Row],[Unit price]]</f>
        <v>3190</v>
      </c>
      <c r="I186" s="19">
        <f>(tbl_Sales[[#This Row],[Unit price]]-tbl_Sales[[#This Row],[Unit cost]])*tbl_Sales[[#This Row],[Qty]]</f>
        <v>-630</v>
      </c>
    </row>
    <row r="187" spans="1:9" x14ac:dyDescent="0.25">
      <c r="A187" s="3">
        <v>44861</v>
      </c>
      <c r="B187" s="9" t="s">
        <v>28</v>
      </c>
      <c r="C187" s="4" t="s">
        <v>4</v>
      </c>
      <c r="D187" s="4" t="s">
        <v>10</v>
      </c>
      <c r="E187" s="9">
        <v>6</v>
      </c>
      <c r="F187" s="4">
        <v>407</v>
      </c>
      <c r="G187" s="4">
        <f>INT(F187*1.5)</f>
        <v>610</v>
      </c>
      <c r="H187" s="19">
        <f>tbl_Sales[[#This Row],[Qty]]*tbl_Sales[[#This Row],[Unit price]]</f>
        <v>3660</v>
      </c>
      <c r="I187" s="19">
        <f>(tbl_Sales[[#This Row],[Unit price]]-tbl_Sales[[#This Row],[Unit cost]])*tbl_Sales[[#This Row],[Qty]]</f>
        <v>1218</v>
      </c>
    </row>
    <row r="188" spans="1:9" x14ac:dyDescent="0.25">
      <c r="A188" s="3">
        <v>44861</v>
      </c>
      <c r="B188" s="9" t="s">
        <v>26</v>
      </c>
      <c r="C188" s="4" t="s">
        <v>4</v>
      </c>
      <c r="D188" s="4" t="s">
        <v>8</v>
      </c>
      <c r="E188" s="9">
        <v>8</v>
      </c>
      <c r="F188" s="4">
        <v>382</v>
      </c>
      <c r="G188" s="4">
        <f>INT(F188*1.5)</f>
        <v>573</v>
      </c>
      <c r="H188" s="19">
        <f>tbl_Sales[[#This Row],[Qty]]*tbl_Sales[[#This Row],[Unit price]]</f>
        <v>4584</v>
      </c>
      <c r="I188" s="19">
        <f>(tbl_Sales[[#This Row],[Unit price]]-tbl_Sales[[#This Row],[Unit cost]])*tbl_Sales[[#This Row],[Qty]]</f>
        <v>1528</v>
      </c>
    </row>
    <row r="189" spans="1:9" x14ac:dyDescent="0.25">
      <c r="A189" s="3">
        <v>44863</v>
      </c>
      <c r="B189" s="9" t="s">
        <v>26</v>
      </c>
      <c r="C189" s="4" t="s">
        <v>5</v>
      </c>
      <c r="D189" s="4" t="s">
        <v>7</v>
      </c>
      <c r="E189" s="9">
        <v>7</v>
      </c>
      <c r="F189" s="4">
        <v>206</v>
      </c>
      <c r="G189" s="4">
        <v>631</v>
      </c>
      <c r="H189" s="19">
        <f>tbl_Sales[[#This Row],[Qty]]*tbl_Sales[[#This Row],[Unit price]]</f>
        <v>4417</v>
      </c>
      <c r="I189" s="19">
        <f>(tbl_Sales[[#This Row],[Unit price]]-tbl_Sales[[#This Row],[Unit cost]])*tbl_Sales[[#This Row],[Qty]]</f>
        <v>2975</v>
      </c>
    </row>
    <row r="190" spans="1:9" x14ac:dyDescent="0.25">
      <c r="A190" s="3">
        <v>44863</v>
      </c>
      <c r="B190" s="9" t="s">
        <v>28</v>
      </c>
      <c r="C190" s="4" t="s">
        <v>1</v>
      </c>
      <c r="D190" s="4" t="s">
        <v>8</v>
      </c>
      <c r="E190" s="9">
        <v>14</v>
      </c>
      <c r="F190" s="4">
        <v>362</v>
      </c>
      <c r="G190" s="4">
        <f>INT(F190*1.5)</f>
        <v>543</v>
      </c>
      <c r="H190" s="19">
        <f>tbl_Sales[[#This Row],[Qty]]*tbl_Sales[[#This Row],[Unit price]]</f>
        <v>7602</v>
      </c>
      <c r="I190" s="19">
        <f>(tbl_Sales[[#This Row],[Unit price]]-tbl_Sales[[#This Row],[Unit cost]])*tbl_Sales[[#This Row],[Qty]]</f>
        <v>2534</v>
      </c>
    </row>
    <row r="191" spans="1:9" x14ac:dyDescent="0.25">
      <c r="A191" s="3">
        <v>44863</v>
      </c>
      <c r="B191" s="9" t="s">
        <v>17</v>
      </c>
      <c r="C191" s="4" t="s">
        <v>1</v>
      </c>
      <c r="D191" s="4" t="s">
        <v>11</v>
      </c>
      <c r="E191" s="9">
        <v>8</v>
      </c>
      <c r="F191" s="4">
        <v>270</v>
      </c>
      <c r="G191" s="4">
        <f>INT(F191*1.5)</f>
        <v>405</v>
      </c>
      <c r="H191" s="19">
        <f>tbl_Sales[[#This Row],[Qty]]*tbl_Sales[[#This Row],[Unit price]]</f>
        <v>3240</v>
      </c>
      <c r="I191" s="19">
        <f>(tbl_Sales[[#This Row],[Unit price]]-tbl_Sales[[#This Row],[Unit cost]])*tbl_Sales[[#This Row],[Qty]]</f>
        <v>1080</v>
      </c>
    </row>
    <row r="192" spans="1:9" x14ac:dyDescent="0.25">
      <c r="A192" s="3">
        <v>44869</v>
      </c>
      <c r="B192" s="9" t="s">
        <v>16</v>
      </c>
      <c r="C192" s="4" t="s">
        <v>5</v>
      </c>
      <c r="D192" s="4" t="s">
        <v>9</v>
      </c>
      <c r="E192" s="9">
        <v>9</v>
      </c>
      <c r="F192" s="4">
        <v>278</v>
      </c>
      <c r="G192" s="4">
        <v>420</v>
      </c>
      <c r="H192" s="19">
        <f>tbl_Sales[[#This Row],[Qty]]*tbl_Sales[[#This Row],[Unit price]]</f>
        <v>3780</v>
      </c>
      <c r="I192" s="19">
        <f>(tbl_Sales[[#This Row],[Unit price]]-tbl_Sales[[#This Row],[Unit cost]])*tbl_Sales[[#This Row],[Qty]]</f>
        <v>1278</v>
      </c>
    </row>
    <row r="193" spans="1:9" x14ac:dyDescent="0.25">
      <c r="A193" s="3">
        <v>44869</v>
      </c>
      <c r="B193" s="9" t="s">
        <v>18</v>
      </c>
      <c r="C193" s="4" t="s">
        <v>6</v>
      </c>
      <c r="D193" s="4" t="s">
        <v>11</v>
      </c>
      <c r="E193" s="9">
        <v>11</v>
      </c>
      <c r="F193" s="4">
        <v>434</v>
      </c>
      <c r="G193" s="4">
        <f>INT(F193*1.5)</f>
        <v>651</v>
      </c>
      <c r="H193" s="19">
        <f>tbl_Sales[[#This Row],[Qty]]*tbl_Sales[[#This Row],[Unit price]]</f>
        <v>7161</v>
      </c>
      <c r="I193" s="19">
        <f>(tbl_Sales[[#This Row],[Unit price]]-tbl_Sales[[#This Row],[Unit cost]])*tbl_Sales[[#This Row],[Qty]]</f>
        <v>2387</v>
      </c>
    </row>
    <row r="194" spans="1:9" x14ac:dyDescent="0.25">
      <c r="A194" s="3">
        <v>44869</v>
      </c>
      <c r="B194" s="9" t="s">
        <v>26</v>
      </c>
      <c r="C194" s="4" t="s">
        <v>5</v>
      </c>
      <c r="D194" s="4" t="s">
        <v>11</v>
      </c>
      <c r="E194" s="9">
        <v>10</v>
      </c>
      <c r="F194" s="4">
        <v>385</v>
      </c>
      <c r="G194" s="4">
        <f>INT(F194*1.5)</f>
        <v>577</v>
      </c>
      <c r="H194" s="19">
        <f>tbl_Sales[[#This Row],[Qty]]*tbl_Sales[[#This Row],[Unit price]]</f>
        <v>5770</v>
      </c>
      <c r="I194" s="19">
        <f>(tbl_Sales[[#This Row],[Unit price]]-tbl_Sales[[#This Row],[Unit cost]])*tbl_Sales[[#This Row],[Qty]]</f>
        <v>1920</v>
      </c>
    </row>
    <row r="195" spans="1:9" x14ac:dyDescent="0.25">
      <c r="A195" s="3">
        <v>44875</v>
      </c>
      <c r="B195" s="9" t="s">
        <v>26</v>
      </c>
      <c r="C195" s="4" t="s">
        <v>5</v>
      </c>
      <c r="D195" s="4" t="s">
        <v>8</v>
      </c>
      <c r="E195" s="9">
        <v>5</v>
      </c>
      <c r="F195" s="4">
        <v>255</v>
      </c>
      <c r="G195" s="4">
        <v>589</v>
      </c>
      <c r="H195" s="19">
        <f>tbl_Sales[[#This Row],[Qty]]*tbl_Sales[[#This Row],[Unit price]]</f>
        <v>2945</v>
      </c>
      <c r="I195" s="19">
        <f>(tbl_Sales[[#This Row],[Unit price]]-tbl_Sales[[#This Row],[Unit cost]])*tbl_Sales[[#This Row],[Qty]]</f>
        <v>1670</v>
      </c>
    </row>
    <row r="196" spans="1:9" x14ac:dyDescent="0.25">
      <c r="A196" s="3">
        <v>44875</v>
      </c>
      <c r="B196" s="9" t="s">
        <v>25</v>
      </c>
      <c r="C196" s="4" t="s">
        <v>5</v>
      </c>
      <c r="D196" s="4" t="s">
        <v>11</v>
      </c>
      <c r="E196" s="9">
        <v>8</v>
      </c>
      <c r="F196" s="4">
        <v>407</v>
      </c>
      <c r="G196" s="4">
        <f>INT(F196*1.5)</f>
        <v>610</v>
      </c>
      <c r="H196" s="19">
        <f>tbl_Sales[[#This Row],[Qty]]*tbl_Sales[[#This Row],[Unit price]]</f>
        <v>4880</v>
      </c>
      <c r="I196" s="19">
        <f>(tbl_Sales[[#This Row],[Unit price]]-tbl_Sales[[#This Row],[Unit cost]])*tbl_Sales[[#This Row],[Qty]]</f>
        <v>1624</v>
      </c>
    </row>
    <row r="197" spans="1:9" x14ac:dyDescent="0.25">
      <c r="A197" s="3">
        <v>44875</v>
      </c>
      <c r="B197" s="9" t="s">
        <v>28</v>
      </c>
      <c r="C197" s="4" t="s">
        <v>1</v>
      </c>
      <c r="D197" s="4" t="s">
        <v>8</v>
      </c>
      <c r="E197" s="9">
        <v>15</v>
      </c>
      <c r="F197" s="4">
        <v>105</v>
      </c>
      <c r="G197" s="4">
        <f>INT(F197*1.5)</f>
        <v>157</v>
      </c>
      <c r="H197" s="19">
        <f>tbl_Sales[[#This Row],[Qty]]*tbl_Sales[[#This Row],[Unit price]]</f>
        <v>2355</v>
      </c>
      <c r="I197" s="19">
        <f>(tbl_Sales[[#This Row],[Unit price]]-tbl_Sales[[#This Row],[Unit cost]])*tbl_Sales[[#This Row],[Qty]]</f>
        <v>780</v>
      </c>
    </row>
    <row r="198" spans="1:9" x14ac:dyDescent="0.25">
      <c r="A198" s="3">
        <v>44881</v>
      </c>
      <c r="B198" s="9" t="s">
        <v>17</v>
      </c>
      <c r="C198" s="4" t="s">
        <v>1</v>
      </c>
      <c r="D198" s="4" t="s">
        <v>7</v>
      </c>
      <c r="E198" s="9">
        <v>8</v>
      </c>
      <c r="F198" s="4">
        <v>472</v>
      </c>
      <c r="G198" s="4">
        <v>490</v>
      </c>
      <c r="H198" s="19">
        <f>tbl_Sales[[#This Row],[Qty]]*tbl_Sales[[#This Row],[Unit price]]</f>
        <v>3920</v>
      </c>
      <c r="I198" s="19">
        <f>(tbl_Sales[[#This Row],[Unit price]]-tbl_Sales[[#This Row],[Unit cost]])*tbl_Sales[[#This Row],[Qty]]</f>
        <v>144</v>
      </c>
    </row>
    <row r="199" spans="1:9" x14ac:dyDescent="0.25">
      <c r="A199" s="3">
        <v>44881</v>
      </c>
      <c r="B199" s="9" t="s">
        <v>19</v>
      </c>
      <c r="C199" s="4" t="s">
        <v>6</v>
      </c>
      <c r="D199" s="4" t="s">
        <v>8</v>
      </c>
      <c r="E199" s="9">
        <v>8</v>
      </c>
      <c r="F199" s="4">
        <v>265</v>
      </c>
      <c r="G199" s="4">
        <f>INT(F199*1.5)</f>
        <v>397</v>
      </c>
      <c r="H199" s="19">
        <f>tbl_Sales[[#This Row],[Qty]]*tbl_Sales[[#This Row],[Unit price]]</f>
        <v>3176</v>
      </c>
      <c r="I199" s="19">
        <f>(tbl_Sales[[#This Row],[Unit price]]-tbl_Sales[[#This Row],[Unit cost]])*tbl_Sales[[#This Row],[Qty]]</f>
        <v>1056</v>
      </c>
    </row>
    <row r="200" spans="1:9" x14ac:dyDescent="0.25">
      <c r="A200" s="3">
        <v>44881</v>
      </c>
      <c r="B200" s="9" t="s">
        <v>26</v>
      </c>
      <c r="C200" s="4" t="s">
        <v>4</v>
      </c>
      <c r="D200" s="4" t="s">
        <v>9</v>
      </c>
      <c r="E200" s="9">
        <v>6</v>
      </c>
      <c r="F200" s="4">
        <v>382</v>
      </c>
      <c r="G200" s="4">
        <f>INT(F200*1.5)</f>
        <v>573</v>
      </c>
      <c r="H200" s="19">
        <f>tbl_Sales[[#This Row],[Qty]]*tbl_Sales[[#This Row],[Unit price]]</f>
        <v>3438</v>
      </c>
      <c r="I200" s="19">
        <f>(tbl_Sales[[#This Row],[Unit price]]-tbl_Sales[[#This Row],[Unit cost]])*tbl_Sales[[#This Row],[Qty]]</f>
        <v>1146</v>
      </c>
    </row>
    <row r="201" spans="1:9" x14ac:dyDescent="0.25">
      <c r="A201" s="3">
        <v>44887</v>
      </c>
      <c r="B201" s="9" t="s">
        <v>27</v>
      </c>
      <c r="C201" s="4" t="s">
        <v>4</v>
      </c>
      <c r="D201" s="4" t="s">
        <v>9</v>
      </c>
      <c r="E201" s="9">
        <v>11</v>
      </c>
      <c r="F201" s="4">
        <v>213</v>
      </c>
      <c r="G201" s="4">
        <v>561</v>
      </c>
      <c r="H201" s="19">
        <f>tbl_Sales[[#This Row],[Qty]]*tbl_Sales[[#This Row],[Unit price]]</f>
        <v>6171</v>
      </c>
      <c r="I201" s="19">
        <f>(tbl_Sales[[#This Row],[Unit price]]-tbl_Sales[[#This Row],[Unit cost]])*tbl_Sales[[#This Row],[Qty]]</f>
        <v>3828</v>
      </c>
    </row>
    <row r="202" spans="1:9" x14ac:dyDescent="0.25">
      <c r="A202" s="3">
        <v>44887</v>
      </c>
      <c r="B202" s="9" t="s">
        <v>25</v>
      </c>
      <c r="C202" s="4" t="s">
        <v>5</v>
      </c>
      <c r="D202" s="4" t="s">
        <v>8</v>
      </c>
      <c r="E202" s="9">
        <v>13</v>
      </c>
      <c r="F202" s="4">
        <v>427</v>
      </c>
      <c r="G202" s="4">
        <f>INT(F202*1.5)</f>
        <v>640</v>
      </c>
      <c r="H202" s="19">
        <f>tbl_Sales[[#This Row],[Qty]]*tbl_Sales[[#This Row],[Unit price]]</f>
        <v>8320</v>
      </c>
      <c r="I202" s="19">
        <f>(tbl_Sales[[#This Row],[Unit price]]-tbl_Sales[[#This Row],[Unit cost]])*tbl_Sales[[#This Row],[Qty]]</f>
        <v>2769</v>
      </c>
    </row>
    <row r="203" spans="1:9" x14ac:dyDescent="0.25">
      <c r="A203" s="3">
        <v>44887</v>
      </c>
      <c r="B203" s="9" t="s">
        <v>25</v>
      </c>
      <c r="C203" s="4" t="s">
        <v>1</v>
      </c>
      <c r="D203" s="4" t="s">
        <v>11</v>
      </c>
      <c r="E203" s="9">
        <v>10</v>
      </c>
      <c r="F203" s="4">
        <v>360</v>
      </c>
      <c r="G203" s="4">
        <f>INT(F203*1.5)</f>
        <v>540</v>
      </c>
      <c r="H203" s="19">
        <f>tbl_Sales[[#This Row],[Qty]]*tbl_Sales[[#This Row],[Unit price]]</f>
        <v>5400</v>
      </c>
      <c r="I203" s="19">
        <f>(tbl_Sales[[#This Row],[Unit price]]-tbl_Sales[[#This Row],[Unit cost]])*tbl_Sales[[#This Row],[Qty]]</f>
        <v>1800</v>
      </c>
    </row>
    <row r="204" spans="1:9" x14ac:dyDescent="0.25">
      <c r="A204" s="3">
        <v>44893</v>
      </c>
      <c r="B204" s="9" t="s">
        <v>18</v>
      </c>
      <c r="C204" s="4" t="s">
        <v>1</v>
      </c>
      <c r="D204" s="4" t="s">
        <v>10</v>
      </c>
      <c r="E204" s="9">
        <v>9</v>
      </c>
      <c r="F204" s="4">
        <v>478</v>
      </c>
      <c r="G204" s="4">
        <v>637</v>
      </c>
      <c r="H204" s="19">
        <f>tbl_Sales[[#This Row],[Qty]]*tbl_Sales[[#This Row],[Unit price]]</f>
        <v>5733</v>
      </c>
      <c r="I204" s="19">
        <f>(tbl_Sales[[#This Row],[Unit price]]-tbl_Sales[[#This Row],[Unit cost]])*tbl_Sales[[#This Row],[Qty]]</f>
        <v>1431</v>
      </c>
    </row>
    <row r="205" spans="1:9" x14ac:dyDescent="0.25">
      <c r="A205" s="3">
        <v>44893</v>
      </c>
      <c r="B205" s="9" t="s">
        <v>20</v>
      </c>
      <c r="C205" s="4" t="s">
        <v>5</v>
      </c>
      <c r="D205" s="4" t="s">
        <v>10</v>
      </c>
      <c r="E205" s="9">
        <v>5</v>
      </c>
      <c r="F205" s="4">
        <v>224</v>
      </c>
      <c r="G205" s="4">
        <f>INT(F205*1.5)</f>
        <v>336</v>
      </c>
      <c r="H205" s="19">
        <f>tbl_Sales[[#This Row],[Qty]]*tbl_Sales[[#This Row],[Unit price]]</f>
        <v>1680</v>
      </c>
      <c r="I205" s="19">
        <f>(tbl_Sales[[#This Row],[Unit price]]-tbl_Sales[[#This Row],[Unit cost]])*tbl_Sales[[#This Row],[Qty]]</f>
        <v>560</v>
      </c>
    </row>
    <row r="206" spans="1:9" x14ac:dyDescent="0.25">
      <c r="A206" s="3">
        <v>44893</v>
      </c>
      <c r="B206" s="9" t="s">
        <v>27</v>
      </c>
      <c r="C206" s="4" t="s">
        <v>6</v>
      </c>
      <c r="D206" s="4" t="s">
        <v>9</v>
      </c>
      <c r="E206" s="9">
        <v>13</v>
      </c>
      <c r="F206" s="4">
        <v>228</v>
      </c>
      <c r="G206" s="4">
        <f>INT(F206*1.5)</f>
        <v>342</v>
      </c>
      <c r="H206" s="19">
        <f>tbl_Sales[[#This Row],[Qty]]*tbl_Sales[[#This Row],[Unit price]]</f>
        <v>4446</v>
      </c>
      <c r="I206" s="19">
        <f>(tbl_Sales[[#This Row],[Unit price]]-tbl_Sales[[#This Row],[Unit cost]])*tbl_Sales[[#This Row],[Qty]]</f>
        <v>1482</v>
      </c>
    </row>
    <row r="207" spans="1:9" x14ac:dyDescent="0.25">
      <c r="A207" s="3">
        <v>44899</v>
      </c>
      <c r="B207" s="9" t="s">
        <v>27</v>
      </c>
      <c r="C207" s="4" t="s">
        <v>6</v>
      </c>
      <c r="D207" s="4" t="s">
        <v>9</v>
      </c>
      <c r="E207" s="9">
        <v>7</v>
      </c>
      <c r="F207" s="4">
        <v>362</v>
      </c>
      <c r="G207" s="4">
        <v>392</v>
      </c>
      <c r="H207" s="19">
        <f>tbl_Sales[[#This Row],[Qty]]*tbl_Sales[[#This Row],[Unit price]]</f>
        <v>2744</v>
      </c>
      <c r="I207" s="19">
        <f>(tbl_Sales[[#This Row],[Unit price]]-tbl_Sales[[#This Row],[Unit cost]])*tbl_Sales[[#This Row],[Qty]]</f>
        <v>210</v>
      </c>
    </row>
    <row r="208" spans="1:9" x14ac:dyDescent="0.25">
      <c r="A208" s="3">
        <v>44899</v>
      </c>
      <c r="B208" s="9" t="s">
        <v>26</v>
      </c>
      <c r="C208" s="4" t="s">
        <v>5</v>
      </c>
      <c r="D208" s="4" t="s">
        <v>10</v>
      </c>
      <c r="E208" s="9">
        <v>15</v>
      </c>
      <c r="F208" s="4">
        <v>270</v>
      </c>
      <c r="G208" s="4">
        <f>INT(F208*1.5)</f>
        <v>405</v>
      </c>
      <c r="H208" s="19">
        <f>tbl_Sales[[#This Row],[Qty]]*tbl_Sales[[#This Row],[Unit price]]</f>
        <v>6075</v>
      </c>
      <c r="I208" s="19">
        <f>(tbl_Sales[[#This Row],[Unit price]]-tbl_Sales[[#This Row],[Unit cost]])*tbl_Sales[[#This Row],[Qty]]</f>
        <v>2025</v>
      </c>
    </row>
    <row r="209" spans="1:9" x14ac:dyDescent="0.25">
      <c r="A209" s="3">
        <v>44899</v>
      </c>
      <c r="B209" s="9" t="s">
        <v>27</v>
      </c>
      <c r="C209" s="4" t="s">
        <v>6</v>
      </c>
      <c r="D209" s="4" t="s">
        <v>7</v>
      </c>
      <c r="E209" s="9">
        <v>5</v>
      </c>
      <c r="F209" s="4">
        <v>474</v>
      </c>
      <c r="G209" s="4">
        <f>INT(F209*1.5)</f>
        <v>711</v>
      </c>
      <c r="H209" s="19">
        <f>tbl_Sales[[#This Row],[Qty]]*tbl_Sales[[#This Row],[Unit price]]</f>
        <v>3555</v>
      </c>
      <c r="I209" s="19">
        <f>(tbl_Sales[[#This Row],[Unit price]]-tbl_Sales[[#This Row],[Unit cost]])*tbl_Sales[[#This Row],[Qty]]</f>
        <v>1185</v>
      </c>
    </row>
    <row r="210" spans="1:9" x14ac:dyDescent="0.25">
      <c r="A210" s="3">
        <v>44905</v>
      </c>
      <c r="B210" s="9" t="s">
        <v>19</v>
      </c>
      <c r="C210" s="4" t="s">
        <v>1</v>
      </c>
      <c r="D210" s="4" t="s">
        <v>11</v>
      </c>
      <c r="E210" s="9">
        <v>8</v>
      </c>
      <c r="F210" s="4">
        <v>434</v>
      </c>
      <c r="G210" s="4">
        <v>669</v>
      </c>
      <c r="H210" s="19">
        <f>tbl_Sales[[#This Row],[Qty]]*tbl_Sales[[#This Row],[Unit price]]</f>
        <v>5352</v>
      </c>
      <c r="I210" s="19">
        <f>(tbl_Sales[[#This Row],[Unit price]]-tbl_Sales[[#This Row],[Unit cost]])*tbl_Sales[[#This Row],[Qty]]</f>
        <v>1880</v>
      </c>
    </row>
    <row r="211" spans="1:9" x14ac:dyDescent="0.25">
      <c r="A211" s="3">
        <v>44905</v>
      </c>
      <c r="B211" s="9" t="s">
        <v>21</v>
      </c>
      <c r="C211" s="4" t="s">
        <v>4</v>
      </c>
      <c r="D211" s="4" t="s">
        <v>11</v>
      </c>
      <c r="E211" s="9">
        <v>13</v>
      </c>
      <c r="F211" s="4">
        <v>385</v>
      </c>
      <c r="G211" s="4">
        <f>INT(F211*1.5)</f>
        <v>577</v>
      </c>
      <c r="H211" s="19">
        <f>tbl_Sales[[#This Row],[Qty]]*tbl_Sales[[#This Row],[Unit price]]</f>
        <v>7501</v>
      </c>
      <c r="I211" s="19">
        <f>(tbl_Sales[[#This Row],[Unit price]]-tbl_Sales[[#This Row],[Unit cost]])*tbl_Sales[[#This Row],[Qty]]</f>
        <v>2496</v>
      </c>
    </row>
    <row r="212" spans="1:9" x14ac:dyDescent="0.25">
      <c r="A212" s="3">
        <v>44905</v>
      </c>
      <c r="B212" s="9" t="s">
        <v>29</v>
      </c>
      <c r="C212" s="4" t="s">
        <v>1</v>
      </c>
      <c r="D212" s="4" t="s">
        <v>11</v>
      </c>
      <c r="E212" s="9">
        <v>14</v>
      </c>
      <c r="F212" s="4">
        <v>434</v>
      </c>
      <c r="G212" s="4">
        <f>INT(F212*1.5)</f>
        <v>651</v>
      </c>
      <c r="H212" s="19">
        <f>tbl_Sales[[#This Row],[Qty]]*tbl_Sales[[#This Row],[Unit price]]</f>
        <v>9114</v>
      </c>
      <c r="I212" s="19">
        <f>(tbl_Sales[[#This Row],[Unit price]]-tbl_Sales[[#This Row],[Unit cost]])*tbl_Sales[[#This Row],[Qty]]</f>
        <v>3038</v>
      </c>
    </row>
    <row r="213" spans="1:9" x14ac:dyDescent="0.25">
      <c r="A213" s="3">
        <v>44911</v>
      </c>
      <c r="B213" s="9" t="s">
        <v>29</v>
      </c>
      <c r="C213" s="4" t="s">
        <v>1</v>
      </c>
      <c r="D213" s="4" t="s">
        <v>10</v>
      </c>
      <c r="E213" s="9">
        <v>21</v>
      </c>
      <c r="F213" s="4">
        <v>407</v>
      </c>
      <c r="G213" s="4">
        <v>401</v>
      </c>
      <c r="H213" s="19">
        <f>tbl_Sales[[#This Row],[Qty]]*tbl_Sales[[#This Row],[Unit price]]</f>
        <v>8421</v>
      </c>
      <c r="I213" s="19">
        <f>(tbl_Sales[[#This Row],[Unit price]]-tbl_Sales[[#This Row],[Unit cost]])*tbl_Sales[[#This Row],[Qty]]</f>
        <v>-126</v>
      </c>
    </row>
    <row r="214" spans="1:9" x14ac:dyDescent="0.25">
      <c r="A214" s="3">
        <v>44911</v>
      </c>
      <c r="B214" s="9" t="s">
        <v>26</v>
      </c>
      <c r="C214" s="4" t="s">
        <v>6</v>
      </c>
      <c r="D214" s="4" t="s">
        <v>7</v>
      </c>
      <c r="E214" s="9">
        <v>19</v>
      </c>
      <c r="F214" s="4">
        <v>105</v>
      </c>
      <c r="G214" s="4">
        <f>INT(F214*1.5)</f>
        <v>157</v>
      </c>
      <c r="H214" s="19">
        <f>tbl_Sales[[#This Row],[Qty]]*tbl_Sales[[#This Row],[Unit price]]</f>
        <v>2983</v>
      </c>
      <c r="I214" s="19">
        <f>(tbl_Sales[[#This Row],[Unit price]]-tbl_Sales[[#This Row],[Unit cost]])*tbl_Sales[[#This Row],[Qty]]</f>
        <v>988</v>
      </c>
    </row>
    <row r="215" spans="1:9" x14ac:dyDescent="0.25">
      <c r="A215" s="3">
        <v>44911</v>
      </c>
      <c r="B215" s="9" t="s">
        <v>29</v>
      </c>
      <c r="C215" s="4" t="s">
        <v>5</v>
      </c>
      <c r="D215" s="4" t="s">
        <v>11</v>
      </c>
      <c r="E215" s="9">
        <v>8</v>
      </c>
      <c r="F215" s="4">
        <v>407</v>
      </c>
      <c r="G215" s="4">
        <f>INT(F215*1.5)</f>
        <v>610</v>
      </c>
      <c r="H215" s="19">
        <f>tbl_Sales[[#This Row],[Qty]]*tbl_Sales[[#This Row],[Unit price]]</f>
        <v>4880</v>
      </c>
      <c r="I215" s="19">
        <f>(tbl_Sales[[#This Row],[Unit price]]-tbl_Sales[[#This Row],[Unit cost]])*tbl_Sales[[#This Row],[Qty]]</f>
        <v>1624</v>
      </c>
    </row>
    <row r="216" spans="1:9" x14ac:dyDescent="0.25">
      <c r="A216" s="3">
        <v>44917</v>
      </c>
      <c r="B216" s="9" t="s">
        <v>20</v>
      </c>
      <c r="C216" s="4" t="s">
        <v>4</v>
      </c>
      <c r="D216" s="4" t="s">
        <v>10</v>
      </c>
      <c r="E216" s="9">
        <v>10</v>
      </c>
      <c r="F216" s="4">
        <v>265</v>
      </c>
      <c r="G216" s="4">
        <v>490</v>
      </c>
      <c r="H216" s="19">
        <f>tbl_Sales[[#This Row],[Qty]]*tbl_Sales[[#This Row],[Unit price]]</f>
        <v>4900</v>
      </c>
      <c r="I216" s="19">
        <f>(tbl_Sales[[#This Row],[Unit price]]-tbl_Sales[[#This Row],[Unit cost]])*tbl_Sales[[#This Row],[Qty]]</f>
        <v>2250</v>
      </c>
    </row>
    <row r="217" spans="1:9" x14ac:dyDescent="0.25">
      <c r="A217" s="3">
        <v>44917</v>
      </c>
      <c r="B217" s="9" t="s">
        <v>22</v>
      </c>
      <c r="C217" s="4" t="s">
        <v>1</v>
      </c>
      <c r="D217" s="4" t="s">
        <v>11</v>
      </c>
      <c r="E217" s="9">
        <v>14</v>
      </c>
      <c r="F217" s="4">
        <v>382</v>
      </c>
      <c r="G217" s="4">
        <f>INT(F217*1.5)</f>
        <v>573</v>
      </c>
      <c r="H217" s="19">
        <f>tbl_Sales[[#This Row],[Qty]]*tbl_Sales[[#This Row],[Unit price]]</f>
        <v>8022</v>
      </c>
      <c r="I217" s="19">
        <f>(tbl_Sales[[#This Row],[Unit price]]-tbl_Sales[[#This Row],[Unit cost]])*tbl_Sales[[#This Row],[Qty]]</f>
        <v>2674</v>
      </c>
    </row>
    <row r="218" spans="1:9" x14ac:dyDescent="0.25">
      <c r="A218" s="3">
        <v>44917</v>
      </c>
      <c r="B218" s="9" t="s">
        <v>30</v>
      </c>
      <c r="C218" s="4" t="s">
        <v>1</v>
      </c>
      <c r="D218" s="4" t="s">
        <v>8</v>
      </c>
      <c r="E218" s="9">
        <v>10</v>
      </c>
      <c r="F218" s="4">
        <v>265</v>
      </c>
      <c r="G218" s="4">
        <f>INT(F218*1.5)</f>
        <v>397</v>
      </c>
      <c r="H218" s="19">
        <f>tbl_Sales[[#This Row],[Qty]]*tbl_Sales[[#This Row],[Unit price]]</f>
        <v>3970</v>
      </c>
      <c r="I218" s="19">
        <f>(tbl_Sales[[#This Row],[Unit price]]-tbl_Sales[[#This Row],[Unit cost]])*tbl_Sales[[#This Row],[Qty]]</f>
        <v>1320</v>
      </c>
    </row>
    <row r="219" spans="1:9" x14ac:dyDescent="0.25">
      <c r="A219" s="3">
        <v>44923</v>
      </c>
      <c r="B219" s="9" t="s">
        <v>29</v>
      </c>
      <c r="C219" s="4" t="s">
        <v>4</v>
      </c>
      <c r="D219" s="4" t="s">
        <v>10</v>
      </c>
      <c r="E219" s="9">
        <v>16</v>
      </c>
      <c r="F219" s="4">
        <v>427</v>
      </c>
      <c r="G219" s="4">
        <v>175</v>
      </c>
      <c r="H219" s="19">
        <f>tbl_Sales[[#This Row],[Qty]]*tbl_Sales[[#This Row],[Unit price]]</f>
        <v>2800</v>
      </c>
      <c r="I219" s="19">
        <f>(tbl_Sales[[#This Row],[Unit price]]-tbl_Sales[[#This Row],[Unit cost]])*tbl_Sales[[#This Row],[Qty]]</f>
        <v>-4032</v>
      </c>
    </row>
    <row r="220" spans="1:9" x14ac:dyDescent="0.25">
      <c r="A220" s="3">
        <v>44923</v>
      </c>
      <c r="B220" s="9" t="s">
        <v>27</v>
      </c>
      <c r="C220" s="4" t="s">
        <v>5</v>
      </c>
      <c r="D220" s="4" t="s">
        <v>11</v>
      </c>
      <c r="E220" s="9">
        <v>8</v>
      </c>
      <c r="F220" s="4">
        <v>360</v>
      </c>
      <c r="G220" s="4">
        <f>INT(F220*1.5)</f>
        <v>540</v>
      </c>
      <c r="H220" s="19">
        <f>tbl_Sales[[#This Row],[Qty]]*tbl_Sales[[#This Row],[Unit price]]</f>
        <v>4320</v>
      </c>
      <c r="I220" s="19">
        <f>(tbl_Sales[[#This Row],[Unit price]]-tbl_Sales[[#This Row],[Unit cost]])*tbl_Sales[[#This Row],[Qty]]</f>
        <v>1440</v>
      </c>
    </row>
    <row r="221" spans="1:9" x14ac:dyDescent="0.25">
      <c r="A221" s="3">
        <v>44923</v>
      </c>
      <c r="B221" s="9" t="s">
        <v>17</v>
      </c>
      <c r="C221" s="4" t="s">
        <v>4</v>
      </c>
      <c r="D221" s="4" t="s">
        <v>9</v>
      </c>
      <c r="E221" s="9">
        <v>7</v>
      </c>
      <c r="F221" s="4">
        <v>427</v>
      </c>
      <c r="G221" s="4">
        <f>INT(F221*1.5)</f>
        <v>640</v>
      </c>
      <c r="H221" s="19">
        <f>tbl_Sales[[#This Row],[Qty]]*tbl_Sales[[#This Row],[Unit price]]</f>
        <v>4480</v>
      </c>
      <c r="I221" s="19">
        <f>(tbl_Sales[[#This Row],[Unit price]]-tbl_Sales[[#This Row],[Unit cost]])*tbl_Sales[[#This Row],[Qty]]</f>
        <v>1491</v>
      </c>
    </row>
  </sheetData>
  <sortState xmlns:xlrd2="http://schemas.microsoft.com/office/spreadsheetml/2017/richdata2" ref="A2:G164">
    <sortCondition ref="A2:A164"/>
  </sortState>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B1EEA-700F-442B-B5E9-9CFEA21F4924}">
  <dimension ref="A1:G65"/>
  <sheetViews>
    <sheetView topLeftCell="A15" workbookViewId="0">
      <selection activeCell="D34" sqref="A1:G57"/>
    </sheetView>
  </sheetViews>
  <sheetFormatPr defaultColWidth="11.42578125" defaultRowHeight="15" x14ac:dyDescent="0.25"/>
  <cols>
    <col min="2" max="2" width="21.5703125" bestFit="1" customWidth="1"/>
  </cols>
  <sheetData>
    <row r="1" spans="1:7" x14ac:dyDescent="0.25">
      <c r="A1" s="3">
        <v>44836</v>
      </c>
      <c r="B1" s="9" t="s">
        <v>25</v>
      </c>
      <c r="C1" s="4" t="s">
        <v>4</v>
      </c>
      <c r="D1" s="4" t="s">
        <v>7</v>
      </c>
      <c r="E1" s="9">
        <v>15</v>
      </c>
      <c r="F1" s="4">
        <v>360</v>
      </c>
      <c r="G1" s="4">
        <v>315</v>
      </c>
    </row>
    <row r="2" spans="1:7" x14ac:dyDescent="0.25">
      <c r="A2" s="3">
        <v>44836</v>
      </c>
      <c r="B2" s="9" t="s">
        <v>16</v>
      </c>
      <c r="C2" s="4" t="s">
        <v>4</v>
      </c>
      <c r="D2" s="4" t="s">
        <v>8</v>
      </c>
      <c r="E2" s="9">
        <v>8</v>
      </c>
      <c r="F2" s="4">
        <v>360</v>
      </c>
      <c r="G2" s="4">
        <v>663</v>
      </c>
    </row>
    <row r="3" spans="1:7" x14ac:dyDescent="0.25">
      <c r="A3" s="3">
        <v>44836</v>
      </c>
      <c r="B3" s="9" t="s">
        <v>29</v>
      </c>
      <c r="C3" s="4" t="s">
        <v>5</v>
      </c>
      <c r="D3" s="4" t="s">
        <v>11</v>
      </c>
      <c r="E3" s="9">
        <v>2</v>
      </c>
      <c r="F3" s="4">
        <v>265</v>
      </c>
      <c r="G3" s="4">
        <f>INT(F3*1.5)</f>
        <v>397</v>
      </c>
    </row>
    <row r="4" spans="1:7" x14ac:dyDescent="0.25">
      <c r="A4" s="3">
        <v>44837</v>
      </c>
      <c r="B4" s="9" t="s">
        <v>21</v>
      </c>
      <c r="C4" s="4" t="s">
        <v>4</v>
      </c>
      <c r="D4" s="4" t="s">
        <v>11</v>
      </c>
      <c r="E4" s="9">
        <v>3</v>
      </c>
      <c r="F4" s="4">
        <v>224</v>
      </c>
      <c r="G4" s="4">
        <v>205</v>
      </c>
    </row>
    <row r="5" spans="1:7" x14ac:dyDescent="0.25">
      <c r="A5" s="3">
        <v>44837</v>
      </c>
      <c r="B5" s="9" t="s">
        <v>23</v>
      </c>
      <c r="C5" s="4" t="s">
        <v>1</v>
      </c>
      <c r="D5" s="4" t="s">
        <v>8</v>
      </c>
      <c r="E5" s="9">
        <v>11</v>
      </c>
      <c r="F5" s="4">
        <v>228</v>
      </c>
      <c r="G5" s="4">
        <f>INT(F5*1.5)</f>
        <v>342</v>
      </c>
    </row>
    <row r="6" spans="1:7" x14ac:dyDescent="0.25">
      <c r="A6" s="3">
        <v>44837</v>
      </c>
      <c r="B6" s="9" t="s">
        <v>25</v>
      </c>
      <c r="C6" s="4" t="s">
        <v>1</v>
      </c>
      <c r="D6" s="4" t="s">
        <v>11</v>
      </c>
      <c r="E6" s="9">
        <v>3</v>
      </c>
      <c r="F6" s="4">
        <v>224</v>
      </c>
      <c r="G6" s="4">
        <f>INT(F6*1.5)</f>
        <v>336</v>
      </c>
    </row>
    <row r="7" spans="1:7" x14ac:dyDescent="0.25">
      <c r="A7" s="3">
        <v>44843</v>
      </c>
      <c r="B7" s="9" t="s">
        <v>30</v>
      </c>
      <c r="C7" s="4" t="s">
        <v>4</v>
      </c>
      <c r="D7" s="4" t="s">
        <v>9</v>
      </c>
      <c r="E7" s="9">
        <v>3</v>
      </c>
      <c r="F7" s="4">
        <v>270</v>
      </c>
      <c r="G7" s="4">
        <v>546</v>
      </c>
    </row>
    <row r="8" spans="1:7" x14ac:dyDescent="0.25">
      <c r="A8" s="3">
        <v>44843</v>
      </c>
      <c r="B8" s="9" t="s">
        <v>27</v>
      </c>
      <c r="C8" s="4" t="s">
        <v>4</v>
      </c>
      <c r="D8" s="4" t="s">
        <v>9</v>
      </c>
      <c r="E8" s="9">
        <v>9</v>
      </c>
      <c r="F8" s="4">
        <v>474</v>
      </c>
      <c r="G8" s="4">
        <f>INT(F8*1.5)</f>
        <v>711</v>
      </c>
    </row>
    <row r="9" spans="1:7" x14ac:dyDescent="0.25">
      <c r="A9" s="3">
        <v>44843</v>
      </c>
      <c r="B9" s="9" t="s">
        <v>26</v>
      </c>
      <c r="C9" s="4" t="s">
        <v>6</v>
      </c>
      <c r="D9" s="4" t="s">
        <v>9</v>
      </c>
      <c r="E9" s="9">
        <v>5</v>
      </c>
      <c r="F9" s="4">
        <v>270</v>
      </c>
      <c r="G9" s="4">
        <f>INT(F9*1.5)</f>
        <v>405</v>
      </c>
    </row>
    <row r="10" spans="1:7" x14ac:dyDescent="0.25">
      <c r="A10" s="3">
        <v>44849</v>
      </c>
      <c r="B10" s="9" t="s">
        <v>25</v>
      </c>
      <c r="C10" s="4" t="s">
        <v>5</v>
      </c>
      <c r="D10" s="4" t="s">
        <v>8</v>
      </c>
      <c r="E10" s="9">
        <v>3</v>
      </c>
      <c r="F10" s="4">
        <v>228</v>
      </c>
      <c r="G10" s="4">
        <v>392</v>
      </c>
    </row>
    <row r="11" spans="1:7" x14ac:dyDescent="0.25">
      <c r="A11" s="3">
        <v>44849</v>
      </c>
      <c r="B11" s="9" t="s">
        <v>22</v>
      </c>
      <c r="C11" s="4" t="s">
        <v>1</v>
      </c>
      <c r="D11" s="4" t="s">
        <v>7</v>
      </c>
      <c r="E11" s="9">
        <v>7</v>
      </c>
      <c r="F11" s="4">
        <v>385</v>
      </c>
      <c r="G11" s="4">
        <v>498</v>
      </c>
    </row>
    <row r="12" spans="1:7" x14ac:dyDescent="0.25">
      <c r="A12" s="3">
        <v>44849</v>
      </c>
      <c r="B12" s="9" t="s">
        <v>24</v>
      </c>
      <c r="C12" s="4" t="s">
        <v>1</v>
      </c>
      <c r="D12" s="4" t="s">
        <v>9</v>
      </c>
      <c r="E12" s="9">
        <v>5</v>
      </c>
      <c r="F12" s="4">
        <v>228</v>
      </c>
      <c r="G12" s="4">
        <f>INT(F12*1.5)</f>
        <v>342</v>
      </c>
    </row>
    <row r="13" spans="1:7" x14ac:dyDescent="0.25">
      <c r="A13" s="3">
        <v>44849</v>
      </c>
      <c r="B13" s="9" t="s">
        <v>24</v>
      </c>
      <c r="C13" s="4" t="s">
        <v>1</v>
      </c>
      <c r="D13" s="4" t="s">
        <v>11</v>
      </c>
      <c r="E13" s="9">
        <v>5</v>
      </c>
      <c r="F13" s="4">
        <v>362</v>
      </c>
      <c r="G13" s="4">
        <f>INT(F13*1.5)</f>
        <v>543</v>
      </c>
    </row>
    <row r="14" spans="1:7" x14ac:dyDescent="0.25">
      <c r="A14" s="3">
        <v>44849</v>
      </c>
      <c r="B14" s="9" t="s">
        <v>25</v>
      </c>
      <c r="C14" s="4" t="s">
        <v>4</v>
      </c>
      <c r="D14" s="4" t="s">
        <v>8</v>
      </c>
      <c r="E14" s="9">
        <v>8</v>
      </c>
      <c r="F14" s="4">
        <v>427</v>
      </c>
      <c r="G14" s="4">
        <f>INT(F14*1.5)</f>
        <v>640</v>
      </c>
    </row>
    <row r="15" spans="1:7" x14ac:dyDescent="0.25">
      <c r="A15" s="3">
        <v>44849</v>
      </c>
      <c r="B15" s="9" t="s">
        <v>30</v>
      </c>
      <c r="C15" s="4" t="s">
        <v>4</v>
      </c>
      <c r="D15" s="4" t="s">
        <v>10</v>
      </c>
      <c r="E15" s="9">
        <v>1</v>
      </c>
      <c r="F15" s="4">
        <v>385</v>
      </c>
      <c r="G15" s="4">
        <f>INT(F15*1.5)</f>
        <v>577</v>
      </c>
    </row>
    <row r="16" spans="1:7" x14ac:dyDescent="0.25">
      <c r="A16" s="3">
        <v>44855</v>
      </c>
      <c r="B16" s="9" t="s">
        <v>17</v>
      </c>
      <c r="C16" s="4" t="s">
        <v>5</v>
      </c>
      <c r="D16" s="4" t="s">
        <v>7</v>
      </c>
      <c r="E16" s="9">
        <v>1</v>
      </c>
      <c r="F16" s="4">
        <v>105</v>
      </c>
      <c r="G16" s="4">
        <v>504</v>
      </c>
    </row>
    <row r="17" spans="1:7" x14ac:dyDescent="0.25">
      <c r="A17" s="3">
        <v>44855</v>
      </c>
      <c r="B17" s="9" t="s">
        <v>29</v>
      </c>
      <c r="C17" s="4" t="s">
        <v>6</v>
      </c>
      <c r="D17" s="4" t="s">
        <v>9</v>
      </c>
      <c r="E17" s="9">
        <v>2</v>
      </c>
      <c r="F17" s="4">
        <v>434</v>
      </c>
      <c r="G17" s="4">
        <f>INT(F17*1.5)</f>
        <v>651</v>
      </c>
    </row>
    <row r="18" spans="1:7" x14ac:dyDescent="0.25">
      <c r="A18" s="3">
        <v>44855</v>
      </c>
      <c r="B18" s="9" t="s">
        <v>17</v>
      </c>
      <c r="C18" s="4" t="s">
        <v>5</v>
      </c>
      <c r="D18" s="4" t="s">
        <v>11</v>
      </c>
      <c r="E18" s="9">
        <v>19</v>
      </c>
      <c r="F18" s="4">
        <v>105</v>
      </c>
      <c r="G18" s="4">
        <f>INT(F18*1.5)</f>
        <v>157</v>
      </c>
    </row>
    <row r="19" spans="1:7" x14ac:dyDescent="0.25">
      <c r="A19" s="3">
        <v>44857</v>
      </c>
      <c r="B19" s="9" t="s">
        <v>25</v>
      </c>
      <c r="C19" s="4" t="s">
        <v>6</v>
      </c>
      <c r="D19" s="4" t="s">
        <v>10</v>
      </c>
      <c r="E19" s="9">
        <v>8</v>
      </c>
      <c r="F19" s="4">
        <v>474</v>
      </c>
      <c r="G19" s="4">
        <v>417</v>
      </c>
    </row>
    <row r="20" spans="1:7" x14ac:dyDescent="0.25">
      <c r="A20" s="3">
        <v>44857</v>
      </c>
      <c r="B20" s="9" t="s">
        <v>17</v>
      </c>
      <c r="C20" s="4" t="s">
        <v>4</v>
      </c>
      <c r="D20" s="4" t="s">
        <v>10</v>
      </c>
      <c r="E20" s="9">
        <v>10</v>
      </c>
      <c r="F20" s="4">
        <v>474</v>
      </c>
      <c r="G20" s="4">
        <f>INT(F20*1.5)</f>
        <v>711</v>
      </c>
    </row>
    <row r="21" spans="1:7" x14ac:dyDescent="0.25">
      <c r="A21" s="3">
        <v>44857</v>
      </c>
      <c r="B21" s="9" t="s">
        <v>30</v>
      </c>
      <c r="C21" s="4" t="s">
        <v>6</v>
      </c>
      <c r="D21" s="4" t="s">
        <v>7</v>
      </c>
      <c r="E21" s="9">
        <v>4</v>
      </c>
      <c r="F21" s="4">
        <v>224</v>
      </c>
      <c r="G21" s="4">
        <f>INT(F21*1.5)</f>
        <v>336</v>
      </c>
    </row>
    <row r="22" spans="1:7" x14ac:dyDescent="0.25">
      <c r="A22" s="3">
        <v>44861</v>
      </c>
      <c r="B22" s="9" t="s">
        <v>23</v>
      </c>
      <c r="C22" s="4" t="s">
        <v>6</v>
      </c>
      <c r="D22" s="4" t="s">
        <v>8</v>
      </c>
      <c r="E22" s="9">
        <v>10</v>
      </c>
      <c r="F22" s="4">
        <v>382</v>
      </c>
      <c r="G22" s="4">
        <v>319</v>
      </c>
    </row>
    <row r="23" spans="1:7" x14ac:dyDescent="0.25">
      <c r="A23" s="3">
        <v>44861</v>
      </c>
      <c r="B23" s="9" t="s">
        <v>28</v>
      </c>
      <c r="C23" s="4" t="s">
        <v>4</v>
      </c>
      <c r="D23" s="4" t="s">
        <v>10</v>
      </c>
      <c r="E23" s="9">
        <v>6</v>
      </c>
      <c r="F23" s="4">
        <v>407</v>
      </c>
      <c r="G23" s="4">
        <f>INT(F23*1.5)</f>
        <v>610</v>
      </c>
    </row>
    <row r="24" spans="1:7" x14ac:dyDescent="0.25">
      <c r="A24" s="3">
        <v>44861</v>
      </c>
      <c r="B24" s="9" t="s">
        <v>26</v>
      </c>
      <c r="C24" s="4" t="s">
        <v>4</v>
      </c>
      <c r="D24" s="4" t="s">
        <v>8</v>
      </c>
      <c r="E24" s="9">
        <v>8</v>
      </c>
      <c r="F24" s="4">
        <v>382</v>
      </c>
      <c r="G24" s="4">
        <f>INT(F24*1.5)</f>
        <v>573</v>
      </c>
    </row>
    <row r="25" spans="1:7" x14ac:dyDescent="0.25">
      <c r="A25" s="3">
        <v>44863</v>
      </c>
      <c r="B25" s="9" t="s">
        <v>26</v>
      </c>
      <c r="C25" s="4" t="s">
        <v>5</v>
      </c>
      <c r="D25" s="4" t="s">
        <v>7</v>
      </c>
      <c r="E25" s="9">
        <v>7</v>
      </c>
      <c r="F25" s="4">
        <v>206</v>
      </c>
      <c r="G25" s="4">
        <v>631</v>
      </c>
    </row>
    <row r="26" spans="1:7" x14ac:dyDescent="0.25">
      <c r="A26" s="3">
        <v>44863</v>
      </c>
      <c r="B26" s="9" t="s">
        <v>28</v>
      </c>
      <c r="C26" s="4" t="s">
        <v>1</v>
      </c>
      <c r="D26" s="4" t="s">
        <v>8</v>
      </c>
      <c r="E26" s="9">
        <v>14</v>
      </c>
      <c r="F26" s="4">
        <v>362</v>
      </c>
      <c r="G26" s="4">
        <f>INT(F26*1.5)</f>
        <v>543</v>
      </c>
    </row>
    <row r="27" spans="1:7" x14ac:dyDescent="0.25">
      <c r="A27" s="3">
        <v>44863</v>
      </c>
      <c r="B27" s="9" t="s">
        <v>17</v>
      </c>
      <c r="C27" s="4" t="s">
        <v>1</v>
      </c>
      <c r="D27" s="4" t="s">
        <v>11</v>
      </c>
      <c r="E27" s="9">
        <v>8</v>
      </c>
      <c r="F27" s="4">
        <v>270</v>
      </c>
      <c r="G27" s="4">
        <f>INT(F27*1.5)</f>
        <v>405</v>
      </c>
    </row>
    <row r="28" spans="1:7" x14ac:dyDescent="0.25">
      <c r="A28" s="3">
        <v>44869</v>
      </c>
      <c r="B28" s="9" t="s">
        <v>16</v>
      </c>
      <c r="C28" s="4" t="s">
        <v>5</v>
      </c>
      <c r="D28" s="4" t="s">
        <v>9</v>
      </c>
      <c r="E28" s="9">
        <v>9</v>
      </c>
      <c r="F28" s="4">
        <v>278</v>
      </c>
      <c r="G28" s="4">
        <v>420</v>
      </c>
    </row>
    <row r="29" spans="1:7" x14ac:dyDescent="0.25">
      <c r="A29" s="3">
        <v>44869</v>
      </c>
      <c r="B29" s="9" t="s">
        <v>18</v>
      </c>
      <c r="C29" s="4" t="s">
        <v>6</v>
      </c>
      <c r="D29" s="4" t="s">
        <v>11</v>
      </c>
      <c r="E29" s="9">
        <v>11</v>
      </c>
      <c r="F29" s="4">
        <v>434</v>
      </c>
      <c r="G29" s="4">
        <f>INT(F29*1.5)</f>
        <v>651</v>
      </c>
    </row>
    <row r="30" spans="1:7" x14ac:dyDescent="0.25">
      <c r="A30" s="3">
        <v>44869</v>
      </c>
      <c r="B30" s="9" t="s">
        <v>26</v>
      </c>
      <c r="C30" s="4" t="s">
        <v>5</v>
      </c>
      <c r="D30" s="4" t="s">
        <v>11</v>
      </c>
      <c r="E30" s="9">
        <v>10</v>
      </c>
      <c r="F30" s="4">
        <v>385</v>
      </c>
      <c r="G30" s="4">
        <f>INT(F30*1.5)</f>
        <v>577</v>
      </c>
    </row>
    <row r="31" spans="1:7" x14ac:dyDescent="0.25">
      <c r="A31" s="3">
        <v>44875</v>
      </c>
      <c r="B31" s="9" t="s">
        <v>26</v>
      </c>
      <c r="C31" s="4" t="s">
        <v>5</v>
      </c>
      <c r="D31" s="4" t="s">
        <v>8</v>
      </c>
      <c r="E31" s="9">
        <v>5</v>
      </c>
      <c r="F31" s="4">
        <v>255</v>
      </c>
      <c r="G31" s="4">
        <v>589</v>
      </c>
    </row>
    <row r="32" spans="1:7" x14ac:dyDescent="0.25">
      <c r="A32" s="3">
        <v>44875</v>
      </c>
      <c r="B32" s="9" t="s">
        <v>25</v>
      </c>
      <c r="C32" s="4" t="s">
        <v>5</v>
      </c>
      <c r="D32" s="4" t="s">
        <v>11</v>
      </c>
      <c r="E32" s="9">
        <v>8</v>
      </c>
      <c r="F32" s="4">
        <v>407</v>
      </c>
      <c r="G32" s="4">
        <f>INT(F32*1.5)</f>
        <v>610</v>
      </c>
    </row>
    <row r="33" spans="1:7" x14ac:dyDescent="0.25">
      <c r="A33" s="3">
        <v>44875</v>
      </c>
      <c r="B33" s="9" t="s">
        <v>28</v>
      </c>
      <c r="C33" s="4" t="s">
        <v>1</v>
      </c>
      <c r="D33" s="4" t="s">
        <v>8</v>
      </c>
      <c r="E33" s="9">
        <v>15</v>
      </c>
      <c r="F33" s="4">
        <v>105</v>
      </c>
      <c r="G33" s="4">
        <f>INT(F33*1.5)</f>
        <v>157</v>
      </c>
    </row>
    <row r="34" spans="1:7" x14ac:dyDescent="0.25">
      <c r="A34" s="3">
        <v>44881</v>
      </c>
      <c r="B34" s="9" t="s">
        <v>17</v>
      </c>
      <c r="C34" s="4" t="s">
        <v>1</v>
      </c>
      <c r="D34" s="4" t="s">
        <v>7</v>
      </c>
      <c r="E34" s="9">
        <v>8</v>
      </c>
      <c r="F34" s="4">
        <v>472</v>
      </c>
      <c r="G34" s="4">
        <v>490</v>
      </c>
    </row>
    <row r="35" spans="1:7" x14ac:dyDescent="0.25">
      <c r="A35" s="3">
        <v>44881</v>
      </c>
      <c r="B35" s="9" t="s">
        <v>19</v>
      </c>
      <c r="C35" s="4" t="s">
        <v>6</v>
      </c>
      <c r="D35" s="4" t="s">
        <v>8</v>
      </c>
      <c r="E35" s="9">
        <v>8</v>
      </c>
      <c r="F35" s="4">
        <v>265</v>
      </c>
      <c r="G35" s="4">
        <f>INT(F35*1.5)</f>
        <v>397</v>
      </c>
    </row>
    <row r="36" spans="1:7" x14ac:dyDescent="0.25">
      <c r="A36" s="3">
        <v>44881</v>
      </c>
      <c r="B36" s="9" t="s">
        <v>26</v>
      </c>
      <c r="C36" s="4" t="s">
        <v>4</v>
      </c>
      <c r="D36" s="4" t="s">
        <v>9</v>
      </c>
      <c r="E36" s="9">
        <v>6</v>
      </c>
      <c r="F36" s="4">
        <v>382</v>
      </c>
      <c r="G36" s="4">
        <f>INT(F36*1.5)</f>
        <v>573</v>
      </c>
    </row>
    <row r="37" spans="1:7" x14ac:dyDescent="0.25">
      <c r="A37" s="3">
        <v>44887</v>
      </c>
      <c r="B37" s="9" t="s">
        <v>27</v>
      </c>
      <c r="C37" s="4" t="s">
        <v>4</v>
      </c>
      <c r="D37" s="4" t="s">
        <v>9</v>
      </c>
      <c r="E37" s="9">
        <v>11</v>
      </c>
      <c r="F37" s="4">
        <v>213</v>
      </c>
      <c r="G37" s="4">
        <v>561</v>
      </c>
    </row>
    <row r="38" spans="1:7" x14ac:dyDescent="0.25">
      <c r="A38" s="3">
        <v>44887</v>
      </c>
      <c r="B38" s="9" t="s">
        <v>25</v>
      </c>
      <c r="C38" s="4" t="s">
        <v>5</v>
      </c>
      <c r="D38" s="4" t="s">
        <v>8</v>
      </c>
      <c r="E38" s="9">
        <v>13</v>
      </c>
      <c r="F38" s="4">
        <v>427</v>
      </c>
      <c r="G38" s="4">
        <f>INT(F38*1.5)</f>
        <v>640</v>
      </c>
    </row>
    <row r="39" spans="1:7" x14ac:dyDescent="0.25">
      <c r="A39" s="3">
        <v>44887</v>
      </c>
      <c r="B39" s="9" t="s">
        <v>25</v>
      </c>
      <c r="C39" s="4" t="s">
        <v>1</v>
      </c>
      <c r="D39" s="4" t="s">
        <v>11</v>
      </c>
      <c r="E39" s="9">
        <v>10</v>
      </c>
      <c r="F39" s="4">
        <v>360</v>
      </c>
      <c r="G39" s="4">
        <f>INT(F39*1.5)</f>
        <v>540</v>
      </c>
    </row>
    <row r="40" spans="1:7" x14ac:dyDescent="0.25">
      <c r="A40" s="3">
        <v>44893</v>
      </c>
      <c r="B40" s="9" t="s">
        <v>18</v>
      </c>
      <c r="C40" s="4" t="s">
        <v>1</v>
      </c>
      <c r="D40" s="4" t="s">
        <v>10</v>
      </c>
      <c r="E40" s="9">
        <v>9</v>
      </c>
      <c r="F40" s="4">
        <v>478</v>
      </c>
      <c r="G40" s="4">
        <v>637</v>
      </c>
    </row>
    <row r="41" spans="1:7" x14ac:dyDescent="0.25">
      <c r="A41" s="3">
        <v>44893</v>
      </c>
      <c r="B41" s="9" t="s">
        <v>20</v>
      </c>
      <c r="C41" s="4" t="s">
        <v>5</v>
      </c>
      <c r="D41" s="4" t="s">
        <v>10</v>
      </c>
      <c r="E41" s="9">
        <v>5</v>
      </c>
      <c r="F41" s="4">
        <v>224</v>
      </c>
      <c r="G41" s="4">
        <f>INT(F41*1.5)</f>
        <v>336</v>
      </c>
    </row>
    <row r="42" spans="1:7" x14ac:dyDescent="0.25">
      <c r="A42" s="3">
        <v>44893</v>
      </c>
      <c r="B42" s="9" t="s">
        <v>27</v>
      </c>
      <c r="C42" s="4" t="s">
        <v>6</v>
      </c>
      <c r="D42" s="4" t="s">
        <v>9</v>
      </c>
      <c r="E42" s="9">
        <v>13</v>
      </c>
      <c r="F42" s="4">
        <v>228</v>
      </c>
      <c r="G42" s="4">
        <f>INT(F42*1.5)</f>
        <v>342</v>
      </c>
    </row>
    <row r="43" spans="1:7" x14ac:dyDescent="0.25">
      <c r="A43" s="3">
        <v>44899</v>
      </c>
      <c r="B43" s="9" t="s">
        <v>27</v>
      </c>
      <c r="C43" s="4" t="s">
        <v>6</v>
      </c>
      <c r="D43" s="4" t="s">
        <v>9</v>
      </c>
      <c r="E43" s="9">
        <v>7</v>
      </c>
      <c r="F43" s="4">
        <v>362</v>
      </c>
      <c r="G43" s="4">
        <v>392</v>
      </c>
    </row>
    <row r="44" spans="1:7" x14ac:dyDescent="0.25">
      <c r="A44" s="3">
        <v>44899</v>
      </c>
      <c r="B44" s="9" t="s">
        <v>26</v>
      </c>
      <c r="C44" s="4" t="s">
        <v>5</v>
      </c>
      <c r="D44" s="4" t="s">
        <v>10</v>
      </c>
      <c r="E44" s="9">
        <v>15</v>
      </c>
      <c r="F44" s="4">
        <v>270</v>
      </c>
      <c r="G44" s="4">
        <f>INT(F44*1.5)</f>
        <v>405</v>
      </c>
    </row>
    <row r="45" spans="1:7" x14ac:dyDescent="0.25">
      <c r="A45" s="3">
        <v>44899</v>
      </c>
      <c r="B45" s="9" t="s">
        <v>27</v>
      </c>
      <c r="C45" s="4" t="s">
        <v>6</v>
      </c>
      <c r="D45" s="4" t="s">
        <v>7</v>
      </c>
      <c r="E45" s="9">
        <v>5</v>
      </c>
      <c r="F45" s="4">
        <v>474</v>
      </c>
      <c r="G45" s="4">
        <f>INT(F45*1.5)</f>
        <v>711</v>
      </c>
    </row>
    <row r="46" spans="1:7" x14ac:dyDescent="0.25">
      <c r="A46" s="3">
        <v>44905</v>
      </c>
      <c r="B46" s="9" t="s">
        <v>19</v>
      </c>
      <c r="C46" s="4" t="s">
        <v>1</v>
      </c>
      <c r="D46" s="4" t="s">
        <v>11</v>
      </c>
      <c r="E46" s="9">
        <v>8</v>
      </c>
      <c r="F46" s="4">
        <v>434</v>
      </c>
      <c r="G46" s="4">
        <v>669</v>
      </c>
    </row>
    <row r="47" spans="1:7" x14ac:dyDescent="0.25">
      <c r="A47" s="3">
        <v>44905</v>
      </c>
      <c r="B47" s="9" t="s">
        <v>21</v>
      </c>
      <c r="C47" s="4" t="s">
        <v>4</v>
      </c>
      <c r="D47" s="4" t="s">
        <v>11</v>
      </c>
      <c r="E47" s="9">
        <v>13</v>
      </c>
      <c r="F47" s="4">
        <v>385</v>
      </c>
      <c r="G47" s="4">
        <f>INT(F47*1.5)</f>
        <v>577</v>
      </c>
    </row>
    <row r="48" spans="1:7" x14ac:dyDescent="0.25">
      <c r="A48" s="3">
        <v>44905</v>
      </c>
      <c r="B48" s="9" t="s">
        <v>29</v>
      </c>
      <c r="C48" s="4" t="s">
        <v>1</v>
      </c>
      <c r="D48" s="4" t="s">
        <v>11</v>
      </c>
      <c r="E48" s="9">
        <v>14</v>
      </c>
      <c r="F48" s="4">
        <v>434</v>
      </c>
      <c r="G48" s="4">
        <f>INT(F48*1.5)</f>
        <v>651</v>
      </c>
    </row>
    <row r="49" spans="1:7" x14ac:dyDescent="0.25">
      <c r="A49" s="3">
        <v>44911</v>
      </c>
      <c r="B49" s="9" t="s">
        <v>29</v>
      </c>
      <c r="C49" s="4" t="s">
        <v>1</v>
      </c>
      <c r="D49" s="4" t="s">
        <v>10</v>
      </c>
      <c r="E49" s="9">
        <v>21</v>
      </c>
      <c r="F49" s="4">
        <v>407</v>
      </c>
      <c r="G49" s="4">
        <v>401</v>
      </c>
    </row>
    <row r="50" spans="1:7" x14ac:dyDescent="0.25">
      <c r="A50" s="3">
        <v>44911</v>
      </c>
      <c r="B50" s="9" t="s">
        <v>26</v>
      </c>
      <c r="C50" s="4" t="s">
        <v>6</v>
      </c>
      <c r="D50" s="4" t="s">
        <v>7</v>
      </c>
      <c r="E50" s="9">
        <v>19</v>
      </c>
      <c r="F50" s="4">
        <v>105</v>
      </c>
      <c r="G50" s="4">
        <f>INT(F50*1.5)</f>
        <v>157</v>
      </c>
    </row>
    <row r="51" spans="1:7" x14ac:dyDescent="0.25">
      <c r="A51" s="3">
        <v>44911</v>
      </c>
      <c r="B51" s="9" t="s">
        <v>29</v>
      </c>
      <c r="C51" s="4" t="s">
        <v>5</v>
      </c>
      <c r="D51" s="4" t="s">
        <v>11</v>
      </c>
      <c r="E51" s="9">
        <v>8</v>
      </c>
      <c r="F51" s="4">
        <v>407</v>
      </c>
      <c r="G51" s="4">
        <f>INT(F51*1.5)</f>
        <v>610</v>
      </c>
    </row>
    <row r="52" spans="1:7" x14ac:dyDescent="0.25">
      <c r="A52" s="3">
        <v>44917</v>
      </c>
      <c r="B52" s="9" t="s">
        <v>20</v>
      </c>
      <c r="C52" s="4" t="s">
        <v>4</v>
      </c>
      <c r="D52" s="4" t="s">
        <v>10</v>
      </c>
      <c r="E52" s="9">
        <v>10</v>
      </c>
      <c r="F52" s="4">
        <v>265</v>
      </c>
      <c r="G52" s="4">
        <v>490</v>
      </c>
    </row>
    <row r="53" spans="1:7" x14ac:dyDescent="0.25">
      <c r="A53" s="3">
        <v>44917</v>
      </c>
      <c r="B53" s="9" t="s">
        <v>22</v>
      </c>
      <c r="C53" s="4" t="s">
        <v>1</v>
      </c>
      <c r="D53" s="4" t="s">
        <v>11</v>
      </c>
      <c r="E53" s="9">
        <v>14</v>
      </c>
      <c r="F53" s="4">
        <v>382</v>
      </c>
      <c r="G53" s="4">
        <f>INT(F53*1.5)</f>
        <v>573</v>
      </c>
    </row>
    <row r="54" spans="1:7" x14ac:dyDescent="0.25">
      <c r="A54" s="3">
        <v>44917</v>
      </c>
      <c r="B54" s="9" t="s">
        <v>30</v>
      </c>
      <c r="C54" s="4" t="s">
        <v>1</v>
      </c>
      <c r="D54" s="4" t="s">
        <v>8</v>
      </c>
      <c r="E54" s="9">
        <v>10</v>
      </c>
      <c r="F54" s="4">
        <v>265</v>
      </c>
      <c r="G54" s="4">
        <f>INT(F54*1.5)</f>
        <v>397</v>
      </c>
    </row>
    <row r="55" spans="1:7" x14ac:dyDescent="0.25">
      <c r="A55" s="3">
        <v>44923</v>
      </c>
      <c r="B55" s="9" t="s">
        <v>29</v>
      </c>
      <c r="C55" s="4" t="s">
        <v>4</v>
      </c>
      <c r="D55" s="4" t="s">
        <v>10</v>
      </c>
      <c r="E55" s="9">
        <v>16</v>
      </c>
      <c r="F55" s="4">
        <v>427</v>
      </c>
      <c r="G55" s="4">
        <v>175</v>
      </c>
    </row>
    <row r="56" spans="1:7" x14ac:dyDescent="0.25">
      <c r="A56" s="3">
        <v>44923</v>
      </c>
      <c r="B56" s="9" t="s">
        <v>27</v>
      </c>
      <c r="C56" s="4" t="s">
        <v>5</v>
      </c>
      <c r="D56" s="4" t="s">
        <v>11</v>
      </c>
      <c r="E56" s="9">
        <v>8</v>
      </c>
      <c r="F56" s="4">
        <v>360</v>
      </c>
      <c r="G56" s="4">
        <f>INT(F56*1.5)</f>
        <v>540</v>
      </c>
    </row>
    <row r="57" spans="1:7" x14ac:dyDescent="0.25">
      <c r="A57" s="3">
        <v>44923</v>
      </c>
      <c r="B57" s="9" t="s">
        <v>17</v>
      </c>
      <c r="C57" s="4" t="s">
        <v>4</v>
      </c>
      <c r="D57" s="4" t="s">
        <v>9</v>
      </c>
      <c r="E57" s="9">
        <v>7</v>
      </c>
      <c r="F57" s="4">
        <v>427</v>
      </c>
      <c r="G57" s="4">
        <f>INT(F57*1.5)</f>
        <v>640</v>
      </c>
    </row>
    <row r="65" spans="5:5" x14ac:dyDescent="0.25">
      <c r="E65" s="9"/>
    </row>
  </sheetData>
  <sortState xmlns:xlrd2="http://schemas.microsoft.com/office/spreadsheetml/2017/richdata2" ref="A1:G57">
    <sortCondition ref="A1:A57"/>
  </sortState>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41FD0-5703-42FE-8FCC-F55F29BFAA80}">
  <dimension ref="A1:L164"/>
  <sheetViews>
    <sheetView workbookViewId="0">
      <selection activeCell="B1" sqref="B1:B1048576"/>
    </sheetView>
  </sheetViews>
  <sheetFormatPr defaultColWidth="11.42578125" defaultRowHeight="15" x14ac:dyDescent="0.25"/>
  <cols>
    <col min="1" max="1" width="12.7109375" bestFit="1" customWidth="1"/>
    <col min="2" max="2" width="21.140625" bestFit="1" customWidth="1"/>
    <col min="5" max="7" width="11.7109375" customWidth="1"/>
    <col min="9" max="9" width="11.42578125" customWidth="1"/>
    <col min="11" max="11" width="13.42578125" bestFit="1" customWidth="1"/>
    <col min="12" max="12" width="14.7109375" bestFit="1" customWidth="1"/>
  </cols>
  <sheetData>
    <row r="1" spans="1:12" x14ac:dyDescent="0.25">
      <c r="A1" s="1" t="s">
        <v>12</v>
      </c>
      <c r="B1" s="2" t="s">
        <v>0</v>
      </c>
      <c r="C1" s="2" t="s">
        <v>36</v>
      </c>
      <c r="D1" s="2" t="s">
        <v>43</v>
      </c>
      <c r="E1" s="2" t="s">
        <v>13</v>
      </c>
      <c r="F1" s="2" t="s">
        <v>14</v>
      </c>
      <c r="G1" s="2" t="s">
        <v>15</v>
      </c>
      <c r="H1" t="s">
        <v>31</v>
      </c>
      <c r="I1" t="s">
        <v>32</v>
      </c>
    </row>
    <row r="2" spans="1:12" x14ac:dyDescent="0.25">
      <c r="A2" s="3">
        <v>44806</v>
      </c>
      <c r="B2" s="4" t="s">
        <v>17</v>
      </c>
      <c r="C2" s="4" t="s">
        <v>6</v>
      </c>
      <c r="D2" s="4" t="s">
        <v>9</v>
      </c>
      <c r="E2" s="4">
        <v>8</v>
      </c>
      <c r="F2" s="4">
        <v>300</v>
      </c>
      <c r="G2" s="4">
        <f>INT(F2*1.4)</f>
        <v>420</v>
      </c>
      <c r="H2" s="10">
        <f>tbl_Sales4[[#This Row],[Qty]]*tbl_Sales4[[#This Row],[Unit price]]</f>
        <v>3360</v>
      </c>
      <c r="I2" s="10">
        <f>(tbl_Sales4[[#This Row],[Unit price]]-tbl_Sales4[[#This Row],[Unit cost]])*tbl_Sales4[[#This Row],[Qty]]</f>
        <v>960</v>
      </c>
      <c r="K2" s="7" t="s">
        <v>2</v>
      </c>
      <c r="L2" t="s">
        <v>50</v>
      </c>
    </row>
    <row r="3" spans="1:12" x14ac:dyDescent="0.25">
      <c r="A3" s="3">
        <v>44806</v>
      </c>
      <c r="B3" s="4" t="s">
        <v>29</v>
      </c>
      <c r="C3" s="4" t="s">
        <v>6</v>
      </c>
      <c r="D3" s="4" t="s">
        <v>7</v>
      </c>
      <c r="E3" s="4">
        <v>20</v>
      </c>
      <c r="F3" s="4">
        <v>385</v>
      </c>
      <c r="G3" s="4">
        <f>INT(F3*1.4)</f>
        <v>539</v>
      </c>
      <c r="H3" s="10">
        <f>tbl_Sales4[[#This Row],[Qty]]*tbl_Sales4[[#This Row],[Unit price]]</f>
        <v>10780</v>
      </c>
      <c r="I3" s="10">
        <f>(tbl_Sales4[[#This Row],[Unit price]]-tbl_Sales4[[#This Row],[Unit cost]])*tbl_Sales4[[#This Row],[Qty]]</f>
        <v>3080</v>
      </c>
      <c r="K3" s="8" t="s">
        <v>1</v>
      </c>
      <c r="L3" s="13">
        <v>271923</v>
      </c>
    </row>
    <row r="4" spans="1:12" x14ac:dyDescent="0.25">
      <c r="A4" s="3">
        <v>44806</v>
      </c>
      <c r="B4" s="4" t="s">
        <v>17</v>
      </c>
      <c r="C4" s="4" t="s">
        <v>1</v>
      </c>
      <c r="D4" s="4" t="s">
        <v>11</v>
      </c>
      <c r="E4" s="4">
        <v>11</v>
      </c>
      <c r="F4" s="4">
        <v>300</v>
      </c>
      <c r="G4" s="4">
        <f>INT(F4*1.4)</f>
        <v>420</v>
      </c>
      <c r="H4" s="10">
        <f>tbl_Sales4[[#This Row],[Qty]]*tbl_Sales4[[#This Row],[Unit price]]</f>
        <v>4620</v>
      </c>
      <c r="I4" s="10">
        <f>(tbl_Sales4[[#This Row],[Unit price]]-tbl_Sales4[[#This Row],[Unit cost]])*tbl_Sales4[[#This Row],[Qty]]</f>
        <v>1320</v>
      </c>
      <c r="K4" s="8" t="s">
        <v>5</v>
      </c>
      <c r="L4" s="13">
        <v>201438</v>
      </c>
    </row>
    <row r="5" spans="1:12" x14ac:dyDescent="0.25">
      <c r="A5" s="3">
        <v>44800</v>
      </c>
      <c r="B5" s="4" t="s">
        <v>30</v>
      </c>
      <c r="C5" s="4" t="s">
        <v>5</v>
      </c>
      <c r="D5" s="4" t="s">
        <v>11</v>
      </c>
      <c r="E5" s="4">
        <v>13</v>
      </c>
      <c r="F5" s="4">
        <v>382</v>
      </c>
      <c r="G5" s="4">
        <f>INT(F5*1.4)</f>
        <v>534</v>
      </c>
      <c r="H5" s="10">
        <f>tbl_Sales4[[#This Row],[Qty]]*tbl_Sales4[[#This Row],[Unit price]]</f>
        <v>6942</v>
      </c>
      <c r="I5" s="10">
        <f>(tbl_Sales4[[#This Row],[Unit price]]-tbl_Sales4[[#This Row],[Unit cost]])*tbl_Sales4[[#This Row],[Qty]]</f>
        <v>1976</v>
      </c>
      <c r="K5" s="8" t="s">
        <v>6</v>
      </c>
      <c r="L5" s="13">
        <v>202258</v>
      </c>
    </row>
    <row r="6" spans="1:12" x14ac:dyDescent="0.25">
      <c r="A6" s="3">
        <v>44800</v>
      </c>
      <c r="B6" s="4" t="s">
        <v>27</v>
      </c>
      <c r="C6" s="4" t="s">
        <v>4</v>
      </c>
      <c r="D6" s="4" t="s">
        <v>9</v>
      </c>
      <c r="E6" s="4">
        <v>14</v>
      </c>
      <c r="F6" s="4">
        <v>270</v>
      </c>
      <c r="G6" s="4">
        <f>INT(F6*1.4)</f>
        <v>378</v>
      </c>
      <c r="H6" s="10">
        <f>tbl_Sales4[[#This Row],[Qty]]*tbl_Sales4[[#This Row],[Unit price]]</f>
        <v>5292</v>
      </c>
      <c r="I6" s="10">
        <f>(tbl_Sales4[[#This Row],[Unit price]]-tbl_Sales4[[#This Row],[Unit cost]])*tbl_Sales4[[#This Row],[Qty]]</f>
        <v>1512</v>
      </c>
      <c r="K6" s="8" t="s">
        <v>4</v>
      </c>
      <c r="L6" s="13">
        <v>249934</v>
      </c>
    </row>
    <row r="7" spans="1:12" x14ac:dyDescent="0.25">
      <c r="A7" s="3">
        <v>44800</v>
      </c>
      <c r="B7" s="4" t="s">
        <v>30</v>
      </c>
      <c r="C7" s="4" t="s">
        <v>1</v>
      </c>
      <c r="D7" s="4" t="s">
        <v>11</v>
      </c>
      <c r="E7" s="4">
        <v>5</v>
      </c>
      <c r="F7" s="4">
        <v>382</v>
      </c>
      <c r="G7" s="4">
        <f>INT(F7*1.4)</f>
        <v>534</v>
      </c>
      <c r="H7" s="10">
        <f>tbl_Sales4[[#This Row],[Qty]]*tbl_Sales4[[#This Row],[Unit price]]</f>
        <v>2670</v>
      </c>
      <c r="I7" s="10">
        <f>(tbl_Sales4[[#This Row],[Unit price]]-tbl_Sales4[[#This Row],[Unit cost]])*tbl_Sales4[[#This Row],[Qty]]</f>
        <v>760</v>
      </c>
      <c r="K7" s="8" t="s">
        <v>48</v>
      </c>
      <c r="L7" s="13">
        <v>653630</v>
      </c>
    </row>
    <row r="8" spans="1:12" x14ac:dyDescent="0.25">
      <c r="A8" s="3">
        <v>44794</v>
      </c>
      <c r="B8" s="4" t="s">
        <v>29</v>
      </c>
      <c r="C8" s="4" t="s">
        <v>1</v>
      </c>
      <c r="D8" s="4" t="s">
        <v>11</v>
      </c>
      <c r="E8" s="4">
        <v>10</v>
      </c>
      <c r="F8" s="4">
        <v>105</v>
      </c>
      <c r="G8" s="4">
        <f>INT(F8*1.4)</f>
        <v>147</v>
      </c>
      <c r="H8" s="10">
        <f>tbl_Sales4[[#This Row],[Qty]]*tbl_Sales4[[#This Row],[Unit price]]</f>
        <v>1470</v>
      </c>
      <c r="I8" s="10">
        <f>(tbl_Sales4[[#This Row],[Unit price]]-tbl_Sales4[[#This Row],[Unit cost]])*tbl_Sales4[[#This Row],[Qty]]</f>
        <v>420</v>
      </c>
      <c r="K8" s="8" t="s">
        <v>49</v>
      </c>
      <c r="L8" s="13">
        <v>271923</v>
      </c>
    </row>
    <row r="9" spans="1:12" x14ac:dyDescent="0.25">
      <c r="A9" s="3">
        <v>44794</v>
      </c>
      <c r="B9" s="4" t="s">
        <v>27</v>
      </c>
      <c r="C9" s="4" t="s">
        <v>6</v>
      </c>
      <c r="D9" s="4" t="s">
        <v>9</v>
      </c>
      <c r="E9" s="4">
        <v>21</v>
      </c>
      <c r="F9" s="4">
        <v>224</v>
      </c>
      <c r="G9" s="4">
        <f>INT(F9*1.4)</f>
        <v>313</v>
      </c>
      <c r="H9" s="10">
        <f>tbl_Sales4[[#This Row],[Qty]]*tbl_Sales4[[#This Row],[Unit price]]</f>
        <v>6573</v>
      </c>
      <c r="I9" s="10">
        <f>(tbl_Sales4[[#This Row],[Unit price]]-tbl_Sales4[[#This Row],[Unit cost]])*tbl_Sales4[[#This Row],[Qty]]</f>
        <v>1869</v>
      </c>
      <c r="K9" s="8" t="s">
        <v>3</v>
      </c>
      <c r="L9" s="13">
        <v>1851106</v>
      </c>
    </row>
    <row r="10" spans="1:12" x14ac:dyDescent="0.25">
      <c r="A10" s="3">
        <v>44794</v>
      </c>
      <c r="B10" s="4" t="s">
        <v>29</v>
      </c>
      <c r="C10" s="4" t="s">
        <v>4</v>
      </c>
      <c r="D10" s="4" t="s">
        <v>10</v>
      </c>
      <c r="E10" s="4">
        <v>19</v>
      </c>
      <c r="F10" s="4">
        <v>105</v>
      </c>
      <c r="G10" s="4">
        <f>INT(F10*1.4)</f>
        <v>147</v>
      </c>
      <c r="H10" s="10">
        <f>tbl_Sales4[[#This Row],[Qty]]*tbl_Sales4[[#This Row],[Unit price]]</f>
        <v>2793</v>
      </c>
      <c r="I10" s="10">
        <f>(tbl_Sales4[[#This Row],[Unit price]]-tbl_Sales4[[#This Row],[Unit cost]])*tbl_Sales4[[#This Row],[Qty]]</f>
        <v>798</v>
      </c>
    </row>
    <row r="11" spans="1:12" x14ac:dyDescent="0.25">
      <c r="A11" s="3">
        <v>44788</v>
      </c>
      <c r="B11" s="4" t="s">
        <v>29</v>
      </c>
      <c r="C11" s="4" t="s">
        <v>1</v>
      </c>
      <c r="D11" s="4" t="s">
        <v>8</v>
      </c>
      <c r="E11" s="4">
        <v>15</v>
      </c>
      <c r="F11" s="4">
        <v>385</v>
      </c>
      <c r="G11" s="4">
        <f>INT(F11*1.4)</f>
        <v>539</v>
      </c>
      <c r="H11" s="10">
        <f>tbl_Sales4[[#This Row],[Qty]]*tbl_Sales4[[#This Row],[Unit price]]</f>
        <v>8085</v>
      </c>
      <c r="I11" s="10">
        <f>(tbl_Sales4[[#This Row],[Unit price]]-tbl_Sales4[[#This Row],[Unit cost]])*tbl_Sales4[[#This Row],[Qty]]</f>
        <v>2310</v>
      </c>
    </row>
    <row r="12" spans="1:12" x14ac:dyDescent="0.25">
      <c r="A12" s="3">
        <v>44788</v>
      </c>
      <c r="B12" s="4" t="s">
        <v>26</v>
      </c>
      <c r="C12" s="4" t="s">
        <v>4</v>
      </c>
      <c r="D12" s="4" t="s">
        <v>9</v>
      </c>
      <c r="E12" s="4">
        <v>8</v>
      </c>
      <c r="F12" s="4">
        <v>427</v>
      </c>
      <c r="G12" s="4">
        <f>INT(F12*1.4)</f>
        <v>597</v>
      </c>
      <c r="H12" s="10">
        <f>tbl_Sales4[[#This Row],[Qty]]*tbl_Sales4[[#This Row],[Unit price]]</f>
        <v>4776</v>
      </c>
      <c r="I12" s="10">
        <f>(tbl_Sales4[[#This Row],[Unit price]]-tbl_Sales4[[#This Row],[Unit cost]])*tbl_Sales4[[#This Row],[Qty]]</f>
        <v>1360</v>
      </c>
    </row>
    <row r="13" spans="1:12" x14ac:dyDescent="0.25">
      <c r="A13" s="3">
        <v>44782</v>
      </c>
      <c r="B13" s="4" t="s">
        <v>27</v>
      </c>
      <c r="C13" s="4" t="s">
        <v>1</v>
      </c>
      <c r="D13" s="4" t="s">
        <v>11</v>
      </c>
      <c r="E13" s="4">
        <v>20</v>
      </c>
      <c r="F13" s="4">
        <v>270</v>
      </c>
      <c r="G13" s="4">
        <f>INT(F13*1.4)</f>
        <v>378</v>
      </c>
      <c r="H13" s="10">
        <f>tbl_Sales4[[#This Row],[Qty]]*tbl_Sales4[[#This Row],[Unit price]]</f>
        <v>7560</v>
      </c>
      <c r="I13" s="10">
        <f>(tbl_Sales4[[#This Row],[Unit price]]-tbl_Sales4[[#This Row],[Unit cost]])*tbl_Sales4[[#This Row],[Qty]]</f>
        <v>2160</v>
      </c>
    </row>
    <row r="14" spans="1:12" x14ac:dyDescent="0.25">
      <c r="A14" s="3">
        <v>44782</v>
      </c>
      <c r="B14" s="4" t="s">
        <v>26</v>
      </c>
      <c r="C14" s="4" t="s">
        <v>5</v>
      </c>
      <c r="D14" s="4" t="s">
        <v>11</v>
      </c>
      <c r="E14" s="4">
        <v>23</v>
      </c>
      <c r="F14" s="4">
        <v>265</v>
      </c>
      <c r="G14" s="4">
        <f>INT(F14*1.4)</f>
        <v>371</v>
      </c>
      <c r="H14" s="10">
        <f>tbl_Sales4[[#This Row],[Qty]]*tbl_Sales4[[#This Row],[Unit price]]</f>
        <v>8533</v>
      </c>
      <c r="I14" s="10">
        <f>(tbl_Sales4[[#This Row],[Unit price]]-tbl_Sales4[[#This Row],[Unit cost]])*tbl_Sales4[[#This Row],[Qty]]</f>
        <v>2438</v>
      </c>
    </row>
    <row r="15" spans="1:12" x14ac:dyDescent="0.25">
      <c r="A15" s="3">
        <v>44776</v>
      </c>
      <c r="B15" s="4" t="s">
        <v>27</v>
      </c>
      <c r="C15" s="4" t="s">
        <v>6</v>
      </c>
      <c r="D15" s="4" t="s">
        <v>9</v>
      </c>
      <c r="E15" s="4">
        <v>11</v>
      </c>
      <c r="F15" s="4">
        <v>224</v>
      </c>
      <c r="G15" s="4">
        <f>INT(F15*1.4)</f>
        <v>313</v>
      </c>
      <c r="H15" s="10">
        <f>tbl_Sales4[[#This Row],[Qty]]*tbl_Sales4[[#This Row],[Unit price]]</f>
        <v>3443</v>
      </c>
      <c r="I15" s="10">
        <f>(tbl_Sales4[[#This Row],[Unit price]]-tbl_Sales4[[#This Row],[Unit cost]])*tbl_Sales4[[#This Row],[Qty]]</f>
        <v>979</v>
      </c>
    </row>
    <row r="16" spans="1:12" x14ac:dyDescent="0.25">
      <c r="A16" s="3">
        <v>44776</v>
      </c>
      <c r="B16" s="4" t="s">
        <v>25</v>
      </c>
      <c r="C16" s="4" t="s">
        <v>6</v>
      </c>
      <c r="D16" s="4" t="s">
        <v>7</v>
      </c>
      <c r="E16" s="4">
        <v>23</v>
      </c>
      <c r="F16" s="4">
        <v>407</v>
      </c>
      <c r="G16" s="4">
        <f>INT(F16*1.4)</f>
        <v>569</v>
      </c>
      <c r="H16" s="10">
        <f>tbl_Sales4[[#This Row],[Qty]]*tbl_Sales4[[#This Row],[Unit price]]</f>
        <v>13087</v>
      </c>
      <c r="I16" s="10">
        <f>(tbl_Sales4[[#This Row],[Unit price]]-tbl_Sales4[[#This Row],[Unit cost]])*tbl_Sales4[[#This Row],[Qty]]</f>
        <v>3726</v>
      </c>
    </row>
    <row r="17" spans="1:9" x14ac:dyDescent="0.25">
      <c r="A17" s="3">
        <v>44770</v>
      </c>
      <c r="B17" s="4" t="s">
        <v>26</v>
      </c>
      <c r="C17" s="4" t="s">
        <v>4</v>
      </c>
      <c r="D17" s="4" t="s">
        <v>9</v>
      </c>
      <c r="E17" s="4">
        <v>23</v>
      </c>
      <c r="F17" s="4">
        <v>427</v>
      </c>
      <c r="G17" s="4">
        <f>INT(F17*1.4)</f>
        <v>597</v>
      </c>
      <c r="H17" s="10">
        <f>tbl_Sales4[[#This Row],[Qty]]*tbl_Sales4[[#This Row],[Unit price]]</f>
        <v>13731</v>
      </c>
      <c r="I17" s="10">
        <f>(tbl_Sales4[[#This Row],[Unit price]]-tbl_Sales4[[#This Row],[Unit cost]])*tbl_Sales4[[#This Row],[Qty]]</f>
        <v>3910</v>
      </c>
    </row>
    <row r="18" spans="1:9" x14ac:dyDescent="0.25">
      <c r="A18" s="3">
        <v>44770</v>
      </c>
      <c r="B18" s="4" t="s">
        <v>25</v>
      </c>
      <c r="C18" s="4" t="s">
        <v>1</v>
      </c>
      <c r="D18" s="4" t="s">
        <v>11</v>
      </c>
      <c r="E18" s="4">
        <v>19</v>
      </c>
      <c r="F18" s="4">
        <v>434</v>
      </c>
      <c r="G18" s="4">
        <f>INT(F18*1.4)</f>
        <v>607</v>
      </c>
      <c r="H18" s="10">
        <f>tbl_Sales4[[#This Row],[Qty]]*tbl_Sales4[[#This Row],[Unit price]]</f>
        <v>11533</v>
      </c>
      <c r="I18" s="10">
        <f>(tbl_Sales4[[#This Row],[Unit price]]-tbl_Sales4[[#This Row],[Unit cost]])*tbl_Sales4[[#This Row],[Qty]]</f>
        <v>3287</v>
      </c>
    </row>
    <row r="19" spans="1:9" x14ac:dyDescent="0.25">
      <c r="A19" s="3">
        <v>44764</v>
      </c>
      <c r="B19" s="4" t="s">
        <v>26</v>
      </c>
      <c r="C19" s="4" t="s">
        <v>5</v>
      </c>
      <c r="D19" s="4" t="s">
        <v>11</v>
      </c>
      <c r="E19" s="4">
        <v>25</v>
      </c>
      <c r="F19" s="4">
        <v>265</v>
      </c>
      <c r="G19" s="4">
        <f>INT(F19*1.4)</f>
        <v>371</v>
      </c>
      <c r="H19" s="10">
        <f>tbl_Sales4[[#This Row],[Qty]]*tbl_Sales4[[#This Row],[Unit price]]</f>
        <v>9275</v>
      </c>
      <c r="I19" s="10">
        <f>(tbl_Sales4[[#This Row],[Unit price]]-tbl_Sales4[[#This Row],[Unit cost]])*tbl_Sales4[[#This Row],[Qty]]</f>
        <v>2650</v>
      </c>
    </row>
    <row r="20" spans="1:9" x14ac:dyDescent="0.25">
      <c r="A20" s="3">
        <v>44764</v>
      </c>
      <c r="B20" s="4" t="s">
        <v>28</v>
      </c>
      <c r="C20" s="4" t="s">
        <v>1</v>
      </c>
      <c r="D20" s="4" t="s">
        <v>8</v>
      </c>
      <c r="E20" s="4">
        <v>23</v>
      </c>
      <c r="F20" s="4">
        <v>362</v>
      </c>
      <c r="G20" s="4">
        <f>INT(F20*1.4)</f>
        <v>506</v>
      </c>
      <c r="H20" s="10">
        <f>tbl_Sales4[[#This Row],[Qty]]*tbl_Sales4[[#This Row],[Unit price]]</f>
        <v>11638</v>
      </c>
      <c r="I20" s="10">
        <f>(tbl_Sales4[[#This Row],[Unit price]]-tbl_Sales4[[#This Row],[Unit cost]])*tbl_Sales4[[#This Row],[Qty]]</f>
        <v>3312</v>
      </c>
    </row>
    <row r="21" spans="1:9" x14ac:dyDescent="0.25">
      <c r="A21" s="3">
        <v>44758</v>
      </c>
      <c r="B21" s="4" t="s">
        <v>25</v>
      </c>
      <c r="C21" s="4" t="s">
        <v>6</v>
      </c>
      <c r="D21" s="4" t="s">
        <v>7</v>
      </c>
      <c r="E21" s="4">
        <v>7</v>
      </c>
      <c r="F21" s="4">
        <v>407</v>
      </c>
      <c r="G21" s="4">
        <f>INT(F21*1.4)</f>
        <v>569</v>
      </c>
      <c r="H21" s="10">
        <f>tbl_Sales4[[#This Row],[Qty]]*tbl_Sales4[[#This Row],[Unit price]]</f>
        <v>3983</v>
      </c>
      <c r="I21" s="10">
        <f>(tbl_Sales4[[#This Row],[Unit price]]-tbl_Sales4[[#This Row],[Unit cost]])*tbl_Sales4[[#This Row],[Qty]]</f>
        <v>1134</v>
      </c>
    </row>
    <row r="22" spans="1:9" x14ac:dyDescent="0.25">
      <c r="A22" s="3">
        <v>44758</v>
      </c>
      <c r="B22" s="4" t="s">
        <v>24</v>
      </c>
      <c r="C22" s="4" t="s">
        <v>1</v>
      </c>
      <c r="D22" s="4" t="s">
        <v>11</v>
      </c>
      <c r="E22" s="4">
        <v>15</v>
      </c>
      <c r="F22" s="4">
        <v>478</v>
      </c>
      <c r="G22" s="4">
        <f>INT(F22*1.4)</f>
        <v>669</v>
      </c>
      <c r="H22" s="10">
        <f>tbl_Sales4[[#This Row],[Qty]]*tbl_Sales4[[#This Row],[Unit price]]</f>
        <v>10035</v>
      </c>
      <c r="I22" s="10">
        <f>(tbl_Sales4[[#This Row],[Unit price]]-tbl_Sales4[[#This Row],[Unit cost]])*tbl_Sales4[[#This Row],[Qty]]</f>
        <v>2865</v>
      </c>
    </row>
    <row r="23" spans="1:9" x14ac:dyDescent="0.25">
      <c r="A23" s="3">
        <v>44752</v>
      </c>
      <c r="B23" s="4" t="s">
        <v>25</v>
      </c>
      <c r="C23" s="4" t="s">
        <v>5</v>
      </c>
      <c r="D23" s="4" t="s">
        <v>11</v>
      </c>
      <c r="E23" s="4">
        <v>5</v>
      </c>
      <c r="F23" s="4">
        <v>434</v>
      </c>
      <c r="G23" s="4">
        <f>INT(F23*1.4)</f>
        <v>607</v>
      </c>
      <c r="H23" s="10">
        <f>tbl_Sales4[[#This Row],[Qty]]*tbl_Sales4[[#This Row],[Unit price]]</f>
        <v>3035</v>
      </c>
      <c r="I23" s="10">
        <f>(tbl_Sales4[[#This Row],[Unit price]]-tbl_Sales4[[#This Row],[Unit cost]])*tbl_Sales4[[#This Row],[Qty]]</f>
        <v>865</v>
      </c>
    </row>
    <row r="24" spans="1:9" x14ac:dyDescent="0.25">
      <c r="A24" s="3">
        <v>44752</v>
      </c>
      <c r="B24" s="4" t="s">
        <v>23</v>
      </c>
      <c r="C24" s="4" t="s">
        <v>4</v>
      </c>
      <c r="D24" s="4" t="s">
        <v>8</v>
      </c>
      <c r="E24" s="4">
        <v>8</v>
      </c>
      <c r="F24" s="4">
        <v>213</v>
      </c>
      <c r="G24" s="4">
        <f>INT(F24*1.4)</f>
        <v>298</v>
      </c>
      <c r="H24" s="10">
        <f>tbl_Sales4[[#This Row],[Qty]]*tbl_Sales4[[#This Row],[Unit price]]</f>
        <v>2384</v>
      </c>
      <c r="I24" s="10">
        <f>(tbl_Sales4[[#This Row],[Unit price]]-tbl_Sales4[[#This Row],[Unit cost]])*tbl_Sales4[[#This Row],[Qty]]</f>
        <v>680</v>
      </c>
    </row>
    <row r="25" spans="1:9" x14ac:dyDescent="0.25">
      <c r="A25" s="3">
        <v>44746</v>
      </c>
      <c r="B25" s="4" t="s">
        <v>28</v>
      </c>
      <c r="C25" s="4" t="s">
        <v>6</v>
      </c>
      <c r="D25" s="4" t="s">
        <v>9</v>
      </c>
      <c r="E25" s="4">
        <v>13</v>
      </c>
      <c r="F25" s="4">
        <v>362</v>
      </c>
      <c r="G25" s="4">
        <f>INT(F25*1.4)</f>
        <v>506</v>
      </c>
      <c r="H25" s="10">
        <f>tbl_Sales4[[#This Row],[Qty]]*tbl_Sales4[[#This Row],[Unit price]]</f>
        <v>6578</v>
      </c>
      <c r="I25" s="10">
        <f>(tbl_Sales4[[#This Row],[Unit price]]-tbl_Sales4[[#This Row],[Unit cost]])*tbl_Sales4[[#This Row],[Qty]]</f>
        <v>1872</v>
      </c>
    </row>
    <row r="26" spans="1:9" x14ac:dyDescent="0.25">
      <c r="A26" s="3">
        <v>44746</v>
      </c>
      <c r="B26" s="4" t="s">
        <v>22</v>
      </c>
      <c r="C26" s="4" t="s">
        <v>4</v>
      </c>
      <c r="D26" s="4" t="s">
        <v>10</v>
      </c>
      <c r="E26" s="4">
        <v>14</v>
      </c>
      <c r="F26" s="4">
        <v>472</v>
      </c>
      <c r="G26" s="4">
        <f>INT(F26*1.4)</f>
        <v>660</v>
      </c>
      <c r="H26" s="10">
        <f>tbl_Sales4[[#This Row],[Qty]]*tbl_Sales4[[#This Row],[Unit price]]</f>
        <v>9240</v>
      </c>
      <c r="I26" s="10">
        <f>(tbl_Sales4[[#This Row],[Unit price]]-tbl_Sales4[[#This Row],[Unit cost]])*tbl_Sales4[[#This Row],[Qty]]</f>
        <v>2632</v>
      </c>
    </row>
    <row r="27" spans="1:9" x14ac:dyDescent="0.25">
      <c r="A27" s="3">
        <v>44740</v>
      </c>
      <c r="B27" s="4" t="s">
        <v>24</v>
      </c>
      <c r="C27" s="4" t="s">
        <v>4</v>
      </c>
      <c r="D27" s="4" t="s">
        <v>9</v>
      </c>
      <c r="E27" s="4">
        <v>21</v>
      </c>
      <c r="F27" s="4">
        <v>478</v>
      </c>
      <c r="G27" s="4">
        <f>INT(F27*1.4)</f>
        <v>669</v>
      </c>
      <c r="H27" s="10">
        <f>tbl_Sales4[[#This Row],[Qty]]*tbl_Sales4[[#This Row],[Unit price]]</f>
        <v>14049</v>
      </c>
      <c r="I27" s="10">
        <f>(tbl_Sales4[[#This Row],[Unit price]]-tbl_Sales4[[#This Row],[Unit cost]])*tbl_Sales4[[#This Row],[Qty]]</f>
        <v>4011</v>
      </c>
    </row>
    <row r="28" spans="1:9" x14ac:dyDescent="0.25">
      <c r="A28" s="3">
        <v>44740</v>
      </c>
      <c r="B28" s="4" t="s">
        <v>21</v>
      </c>
      <c r="C28" s="4" t="s">
        <v>1</v>
      </c>
      <c r="D28" s="4" t="s">
        <v>11</v>
      </c>
      <c r="E28" s="4">
        <v>19</v>
      </c>
      <c r="F28" s="4">
        <v>255</v>
      </c>
      <c r="G28" s="4">
        <f>INT(F28*1.4)</f>
        <v>357</v>
      </c>
      <c r="H28" s="10">
        <f>tbl_Sales4[[#This Row],[Qty]]*tbl_Sales4[[#This Row],[Unit price]]</f>
        <v>6783</v>
      </c>
      <c r="I28" s="10">
        <f>(tbl_Sales4[[#This Row],[Unit price]]-tbl_Sales4[[#This Row],[Unit cost]])*tbl_Sales4[[#This Row],[Qty]]</f>
        <v>1938</v>
      </c>
    </row>
    <row r="29" spans="1:9" x14ac:dyDescent="0.25">
      <c r="A29" s="3">
        <v>44734</v>
      </c>
      <c r="B29" s="4" t="s">
        <v>23</v>
      </c>
      <c r="C29" s="4" t="s">
        <v>5</v>
      </c>
      <c r="D29" s="4" t="s">
        <v>11</v>
      </c>
      <c r="E29" s="4">
        <v>8</v>
      </c>
      <c r="F29" s="4">
        <v>213</v>
      </c>
      <c r="G29" s="4">
        <f>INT(F29*1.4)</f>
        <v>298</v>
      </c>
      <c r="H29" s="10">
        <f>tbl_Sales4[[#This Row],[Qty]]*tbl_Sales4[[#This Row],[Unit price]]</f>
        <v>2384</v>
      </c>
      <c r="I29" s="10">
        <f>(tbl_Sales4[[#This Row],[Unit price]]-tbl_Sales4[[#This Row],[Unit cost]])*tbl_Sales4[[#This Row],[Qty]]</f>
        <v>680</v>
      </c>
    </row>
    <row r="30" spans="1:9" x14ac:dyDescent="0.25">
      <c r="A30" s="3">
        <v>44734</v>
      </c>
      <c r="B30" s="4" t="s">
        <v>20</v>
      </c>
      <c r="C30" s="4" t="s">
        <v>1</v>
      </c>
      <c r="D30" s="4" t="s">
        <v>8</v>
      </c>
      <c r="E30" s="4">
        <v>10</v>
      </c>
      <c r="F30" s="4">
        <v>278</v>
      </c>
      <c r="G30" s="4">
        <f>INT(F30*1.4)</f>
        <v>389</v>
      </c>
      <c r="H30" s="10">
        <f>tbl_Sales4[[#This Row],[Qty]]*tbl_Sales4[[#This Row],[Unit price]]</f>
        <v>3890</v>
      </c>
      <c r="I30" s="10">
        <f>(tbl_Sales4[[#This Row],[Unit price]]-tbl_Sales4[[#This Row],[Unit cost]])*tbl_Sales4[[#This Row],[Qty]]</f>
        <v>1110</v>
      </c>
    </row>
    <row r="31" spans="1:9" x14ac:dyDescent="0.25">
      <c r="A31" s="3">
        <v>44728</v>
      </c>
      <c r="B31" s="4" t="s">
        <v>22</v>
      </c>
      <c r="C31" s="4" t="s">
        <v>6</v>
      </c>
      <c r="D31" s="4" t="s">
        <v>7</v>
      </c>
      <c r="E31" s="4">
        <v>24</v>
      </c>
      <c r="F31" s="4">
        <v>472</v>
      </c>
      <c r="G31" s="4">
        <f>INT(F31*1.4)</f>
        <v>660</v>
      </c>
      <c r="H31" s="10">
        <f>tbl_Sales4[[#This Row],[Qty]]*tbl_Sales4[[#This Row],[Unit price]]</f>
        <v>15840</v>
      </c>
      <c r="I31" s="10">
        <f>(tbl_Sales4[[#This Row],[Unit price]]-tbl_Sales4[[#This Row],[Unit cost]])*tbl_Sales4[[#This Row],[Qty]]</f>
        <v>4512</v>
      </c>
    </row>
    <row r="32" spans="1:9" x14ac:dyDescent="0.25">
      <c r="A32" s="3">
        <v>44728</v>
      </c>
      <c r="B32" s="4" t="s">
        <v>19</v>
      </c>
      <c r="C32" s="4" t="s">
        <v>1</v>
      </c>
      <c r="D32" s="4" t="s">
        <v>11</v>
      </c>
      <c r="E32" s="4">
        <v>10</v>
      </c>
      <c r="F32" s="4">
        <v>206</v>
      </c>
      <c r="G32" s="4">
        <f>INT(F32*1.4)</f>
        <v>288</v>
      </c>
      <c r="H32" s="10">
        <f>tbl_Sales4[[#This Row],[Qty]]*tbl_Sales4[[#This Row],[Unit price]]</f>
        <v>2880</v>
      </c>
      <c r="I32" s="10">
        <f>(tbl_Sales4[[#This Row],[Unit price]]-tbl_Sales4[[#This Row],[Unit cost]])*tbl_Sales4[[#This Row],[Qty]]</f>
        <v>820</v>
      </c>
    </row>
    <row r="33" spans="1:9" x14ac:dyDescent="0.25">
      <c r="A33" s="3">
        <v>44722</v>
      </c>
      <c r="B33" s="4" t="s">
        <v>21</v>
      </c>
      <c r="C33" s="4" t="s">
        <v>5</v>
      </c>
      <c r="D33" s="4" t="s">
        <v>10</v>
      </c>
      <c r="E33" s="4">
        <v>16</v>
      </c>
      <c r="F33" s="4">
        <v>255</v>
      </c>
      <c r="G33" s="4">
        <f>INT(F33*1.4)</f>
        <v>357</v>
      </c>
      <c r="H33" s="10">
        <f>tbl_Sales4[[#This Row],[Qty]]*tbl_Sales4[[#This Row],[Unit price]]</f>
        <v>5712</v>
      </c>
      <c r="I33" s="10">
        <f>(tbl_Sales4[[#This Row],[Unit price]]-tbl_Sales4[[#This Row],[Unit cost]])*tbl_Sales4[[#This Row],[Qty]]</f>
        <v>1632</v>
      </c>
    </row>
    <row r="34" spans="1:9" x14ac:dyDescent="0.25">
      <c r="A34" s="3">
        <v>44722</v>
      </c>
      <c r="B34" s="4" t="s">
        <v>18</v>
      </c>
      <c r="C34" s="4" t="s">
        <v>4</v>
      </c>
      <c r="D34" s="4" t="s">
        <v>11</v>
      </c>
      <c r="E34" s="4">
        <v>8</v>
      </c>
      <c r="F34" s="4">
        <v>474</v>
      </c>
      <c r="G34" s="4">
        <f>INT(F34*1.4)</f>
        <v>663</v>
      </c>
      <c r="H34" s="10">
        <f>tbl_Sales4[[#This Row],[Qty]]*tbl_Sales4[[#This Row],[Unit price]]</f>
        <v>5304</v>
      </c>
      <c r="I34" s="10">
        <f>(tbl_Sales4[[#This Row],[Unit price]]-tbl_Sales4[[#This Row],[Unit cost]])*tbl_Sales4[[#This Row],[Qty]]</f>
        <v>1512</v>
      </c>
    </row>
    <row r="35" spans="1:9" x14ac:dyDescent="0.25">
      <c r="A35" s="3">
        <v>44716</v>
      </c>
      <c r="B35" s="4" t="s">
        <v>20</v>
      </c>
      <c r="C35" s="4" t="s">
        <v>5</v>
      </c>
      <c r="D35" s="4" t="s">
        <v>8</v>
      </c>
      <c r="E35" s="4">
        <v>7</v>
      </c>
      <c r="F35" s="4">
        <v>278</v>
      </c>
      <c r="G35" s="4">
        <f>INT(F35*1.4)</f>
        <v>389</v>
      </c>
      <c r="H35" s="10">
        <f>tbl_Sales4[[#This Row],[Qty]]*tbl_Sales4[[#This Row],[Unit price]]</f>
        <v>2723</v>
      </c>
      <c r="I35" s="10">
        <f>(tbl_Sales4[[#This Row],[Unit price]]-tbl_Sales4[[#This Row],[Unit cost]])*tbl_Sales4[[#This Row],[Qty]]</f>
        <v>777</v>
      </c>
    </row>
    <row r="36" spans="1:9" x14ac:dyDescent="0.25">
      <c r="A36" s="3">
        <v>44716</v>
      </c>
      <c r="B36" s="4" t="s">
        <v>17</v>
      </c>
      <c r="C36" s="4" t="s">
        <v>5</v>
      </c>
      <c r="D36" s="4" t="s">
        <v>10</v>
      </c>
      <c r="E36" s="4">
        <v>14</v>
      </c>
      <c r="F36" s="4">
        <v>228</v>
      </c>
      <c r="G36" s="4">
        <f>INT(F36*1.4)</f>
        <v>319</v>
      </c>
      <c r="H36" s="10">
        <f>tbl_Sales4[[#This Row],[Qty]]*tbl_Sales4[[#This Row],[Unit price]]</f>
        <v>4466</v>
      </c>
      <c r="I36" s="10">
        <f>(tbl_Sales4[[#This Row],[Unit price]]-tbl_Sales4[[#This Row],[Unit cost]])*tbl_Sales4[[#This Row],[Qty]]</f>
        <v>1274</v>
      </c>
    </row>
    <row r="37" spans="1:9" x14ac:dyDescent="0.25">
      <c r="A37" s="3">
        <v>44710</v>
      </c>
      <c r="B37" s="4" t="s">
        <v>19</v>
      </c>
      <c r="C37" s="4" t="s">
        <v>5</v>
      </c>
      <c r="D37" s="4" t="s">
        <v>11</v>
      </c>
      <c r="E37" s="4">
        <v>18</v>
      </c>
      <c r="F37" s="4">
        <v>206</v>
      </c>
      <c r="G37" s="4">
        <f>INT(F37*1.4)</f>
        <v>288</v>
      </c>
      <c r="H37" s="10">
        <f>tbl_Sales4[[#This Row],[Qty]]*tbl_Sales4[[#This Row],[Unit price]]</f>
        <v>5184</v>
      </c>
      <c r="I37" s="10">
        <f>(tbl_Sales4[[#This Row],[Unit price]]-tbl_Sales4[[#This Row],[Unit cost]])*tbl_Sales4[[#This Row],[Qty]]</f>
        <v>1476</v>
      </c>
    </row>
    <row r="38" spans="1:9" x14ac:dyDescent="0.25">
      <c r="A38" s="3">
        <v>44710</v>
      </c>
      <c r="B38" s="4" t="s">
        <v>16</v>
      </c>
      <c r="C38" s="4" t="s">
        <v>6</v>
      </c>
      <c r="D38" s="4" t="s">
        <v>8</v>
      </c>
      <c r="E38" s="4">
        <v>19</v>
      </c>
      <c r="F38" s="4">
        <v>360</v>
      </c>
      <c r="G38" s="4">
        <f>INT(F38*1.4)</f>
        <v>504</v>
      </c>
      <c r="H38" s="10">
        <f>tbl_Sales4[[#This Row],[Qty]]*tbl_Sales4[[#This Row],[Unit price]]</f>
        <v>9576</v>
      </c>
      <c r="I38" s="10">
        <f>(tbl_Sales4[[#This Row],[Unit price]]-tbl_Sales4[[#This Row],[Unit cost]])*tbl_Sales4[[#This Row],[Qty]]</f>
        <v>2736</v>
      </c>
    </row>
    <row r="39" spans="1:9" x14ac:dyDescent="0.25">
      <c r="A39" s="3">
        <v>44704</v>
      </c>
      <c r="B39" s="4" t="s">
        <v>18</v>
      </c>
      <c r="C39" s="4" t="s">
        <v>1</v>
      </c>
      <c r="D39" s="4" t="s">
        <v>8</v>
      </c>
      <c r="E39" s="4">
        <v>18</v>
      </c>
      <c r="F39" s="4">
        <v>474</v>
      </c>
      <c r="G39" s="4">
        <f>INT(F39*1.4)</f>
        <v>663</v>
      </c>
      <c r="H39" s="10">
        <f>tbl_Sales4[[#This Row],[Qty]]*tbl_Sales4[[#This Row],[Unit price]]</f>
        <v>11934</v>
      </c>
      <c r="I39" s="10">
        <f>(tbl_Sales4[[#This Row],[Unit price]]-tbl_Sales4[[#This Row],[Unit cost]])*tbl_Sales4[[#This Row],[Qty]]</f>
        <v>3402</v>
      </c>
    </row>
    <row r="40" spans="1:9" x14ac:dyDescent="0.25">
      <c r="A40" s="3">
        <v>44704</v>
      </c>
      <c r="B40" s="4" t="s">
        <v>27</v>
      </c>
      <c r="C40" s="4" t="s">
        <v>6</v>
      </c>
      <c r="D40" s="4" t="s">
        <v>11</v>
      </c>
      <c r="E40" s="4">
        <v>10</v>
      </c>
      <c r="F40" s="4">
        <v>224</v>
      </c>
      <c r="G40" s="4">
        <f>INT(F40*1.4)</f>
        <v>313</v>
      </c>
      <c r="H40" s="10">
        <f>tbl_Sales4[[#This Row],[Qty]]*tbl_Sales4[[#This Row],[Unit price]]</f>
        <v>3130</v>
      </c>
      <c r="I40" s="10">
        <f>(tbl_Sales4[[#This Row],[Unit price]]-tbl_Sales4[[#This Row],[Unit cost]])*tbl_Sales4[[#This Row],[Qty]]</f>
        <v>890</v>
      </c>
    </row>
    <row r="41" spans="1:9" x14ac:dyDescent="0.25">
      <c r="A41" s="3">
        <v>44698</v>
      </c>
      <c r="B41" s="4" t="s">
        <v>17</v>
      </c>
      <c r="C41" s="4" t="s">
        <v>1</v>
      </c>
      <c r="D41" s="4" t="s">
        <v>9</v>
      </c>
      <c r="E41" s="4">
        <v>5</v>
      </c>
      <c r="F41" s="4">
        <v>228</v>
      </c>
      <c r="G41" s="4">
        <f>INT(F41*1.4)</f>
        <v>319</v>
      </c>
      <c r="H41" s="10">
        <f>tbl_Sales4[[#This Row],[Qty]]*tbl_Sales4[[#This Row],[Unit price]]</f>
        <v>1595</v>
      </c>
      <c r="I41" s="10">
        <f>(tbl_Sales4[[#This Row],[Unit price]]-tbl_Sales4[[#This Row],[Unit cost]])*tbl_Sales4[[#This Row],[Qty]]</f>
        <v>455</v>
      </c>
    </row>
    <row r="42" spans="1:9" x14ac:dyDescent="0.25">
      <c r="A42" s="3">
        <v>44698</v>
      </c>
      <c r="B42" s="4" t="s">
        <v>26</v>
      </c>
      <c r="C42" s="4" t="s">
        <v>4</v>
      </c>
      <c r="D42" s="4" t="s">
        <v>10</v>
      </c>
      <c r="E42" s="4">
        <v>8</v>
      </c>
      <c r="F42" s="4">
        <v>427</v>
      </c>
      <c r="G42" s="4">
        <f>INT(F42*1.4)</f>
        <v>597</v>
      </c>
      <c r="H42" s="10">
        <f>tbl_Sales4[[#This Row],[Qty]]*tbl_Sales4[[#This Row],[Unit price]]</f>
        <v>4776</v>
      </c>
      <c r="I42" s="10">
        <f>(tbl_Sales4[[#This Row],[Unit price]]-tbl_Sales4[[#This Row],[Unit cost]])*tbl_Sales4[[#This Row],[Qty]]</f>
        <v>1360</v>
      </c>
    </row>
    <row r="43" spans="1:9" x14ac:dyDescent="0.25">
      <c r="A43" s="3">
        <v>44692</v>
      </c>
      <c r="B43" s="4" t="s">
        <v>16</v>
      </c>
      <c r="C43" s="4" t="s">
        <v>6</v>
      </c>
      <c r="D43" s="4" t="s">
        <v>8</v>
      </c>
      <c r="E43" s="4">
        <v>13</v>
      </c>
      <c r="F43" s="4">
        <v>360</v>
      </c>
      <c r="G43" s="4">
        <f>INT(F43*1.4)</f>
        <v>504</v>
      </c>
      <c r="H43" s="10">
        <f>tbl_Sales4[[#This Row],[Qty]]*tbl_Sales4[[#This Row],[Unit price]]</f>
        <v>6552</v>
      </c>
      <c r="I43" s="10">
        <f>(tbl_Sales4[[#This Row],[Unit price]]-tbl_Sales4[[#This Row],[Unit cost]])*tbl_Sales4[[#This Row],[Qty]]</f>
        <v>1872</v>
      </c>
    </row>
    <row r="44" spans="1:9" x14ac:dyDescent="0.25">
      <c r="A44" s="3">
        <v>44692</v>
      </c>
      <c r="B44" s="4" t="s">
        <v>26</v>
      </c>
      <c r="C44" s="4" t="s">
        <v>4</v>
      </c>
      <c r="D44" s="4" t="s">
        <v>8</v>
      </c>
      <c r="E44" s="4">
        <v>14</v>
      </c>
      <c r="F44" s="4">
        <v>265</v>
      </c>
      <c r="G44" s="4">
        <f>INT(F44*1.4)</f>
        <v>371</v>
      </c>
      <c r="H44" s="10">
        <f>tbl_Sales4[[#This Row],[Qty]]*tbl_Sales4[[#This Row],[Unit price]]</f>
        <v>5194</v>
      </c>
      <c r="I44" s="10">
        <f>(tbl_Sales4[[#This Row],[Unit price]]-tbl_Sales4[[#This Row],[Unit cost]])*tbl_Sales4[[#This Row],[Qty]]</f>
        <v>1484</v>
      </c>
    </row>
    <row r="45" spans="1:9" x14ac:dyDescent="0.25">
      <c r="A45" s="3">
        <v>44686</v>
      </c>
      <c r="B45" s="4" t="s">
        <v>17</v>
      </c>
      <c r="C45" s="4" t="s">
        <v>1</v>
      </c>
      <c r="D45" s="4" t="s">
        <v>7</v>
      </c>
      <c r="E45" s="4">
        <v>21</v>
      </c>
      <c r="F45" s="4">
        <v>300</v>
      </c>
      <c r="G45" s="4">
        <f>INT(F45*1.4)</f>
        <v>420</v>
      </c>
      <c r="H45" s="10">
        <f>tbl_Sales4[[#This Row],[Qty]]*tbl_Sales4[[#This Row],[Unit price]]</f>
        <v>8820</v>
      </c>
      <c r="I45" s="10">
        <f>(tbl_Sales4[[#This Row],[Unit price]]-tbl_Sales4[[#This Row],[Unit cost]])*tbl_Sales4[[#This Row],[Qty]]</f>
        <v>2520</v>
      </c>
    </row>
    <row r="46" spans="1:9" x14ac:dyDescent="0.25">
      <c r="A46" s="3">
        <v>44686</v>
      </c>
      <c r="B46" s="4" t="s">
        <v>25</v>
      </c>
      <c r="C46" s="4" t="s">
        <v>5</v>
      </c>
      <c r="D46" s="4" t="s">
        <v>7</v>
      </c>
      <c r="E46" s="4">
        <v>19</v>
      </c>
      <c r="F46" s="4">
        <v>407</v>
      </c>
      <c r="G46" s="4">
        <f>INT(F46*1.4)</f>
        <v>569</v>
      </c>
      <c r="H46" s="10">
        <f>tbl_Sales4[[#This Row],[Qty]]*tbl_Sales4[[#This Row],[Unit price]]</f>
        <v>10811</v>
      </c>
      <c r="I46" s="10">
        <f>(tbl_Sales4[[#This Row],[Unit price]]-tbl_Sales4[[#This Row],[Unit cost]])*tbl_Sales4[[#This Row],[Qty]]</f>
        <v>3078</v>
      </c>
    </row>
    <row r="47" spans="1:9" x14ac:dyDescent="0.25">
      <c r="A47" s="3">
        <v>44680</v>
      </c>
      <c r="B47" s="4" t="s">
        <v>30</v>
      </c>
      <c r="C47" s="4" t="s">
        <v>4</v>
      </c>
      <c r="D47" s="4" t="s">
        <v>11</v>
      </c>
      <c r="E47" s="4">
        <v>8</v>
      </c>
      <c r="F47" s="4">
        <v>382</v>
      </c>
      <c r="G47" s="4">
        <f>INT(F47*1.4)</f>
        <v>534</v>
      </c>
      <c r="H47" s="10">
        <f>tbl_Sales4[[#This Row],[Qty]]*tbl_Sales4[[#This Row],[Unit price]]</f>
        <v>4272</v>
      </c>
      <c r="I47" s="10">
        <f>(tbl_Sales4[[#This Row],[Unit price]]-tbl_Sales4[[#This Row],[Unit cost]])*tbl_Sales4[[#This Row],[Qty]]</f>
        <v>1216</v>
      </c>
    </row>
    <row r="48" spans="1:9" x14ac:dyDescent="0.25">
      <c r="A48" s="3">
        <v>44680</v>
      </c>
      <c r="B48" s="4" t="s">
        <v>25</v>
      </c>
      <c r="C48" s="4" t="s">
        <v>4</v>
      </c>
      <c r="D48" s="4" t="s">
        <v>9</v>
      </c>
      <c r="E48" s="4">
        <v>10</v>
      </c>
      <c r="F48" s="4">
        <v>434</v>
      </c>
      <c r="G48" s="4">
        <f>INT(F48*1.4)</f>
        <v>607</v>
      </c>
      <c r="H48" s="10">
        <f>tbl_Sales4[[#This Row],[Qty]]*tbl_Sales4[[#This Row],[Unit price]]</f>
        <v>6070</v>
      </c>
      <c r="I48" s="10">
        <f>(tbl_Sales4[[#This Row],[Unit price]]-tbl_Sales4[[#This Row],[Unit cost]])*tbl_Sales4[[#This Row],[Qty]]</f>
        <v>1730</v>
      </c>
    </row>
    <row r="49" spans="1:9" x14ac:dyDescent="0.25">
      <c r="A49" s="3">
        <v>44674</v>
      </c>
      <c r="B49" s="4" t="s">
        <v>29</v>
      </c>
      <c r="C49" s="4" t="s">
        <v>4</v>
      </c>
      <c r="D49" s="4" t="s">
        <v>10</v>
      </c>
      <c r="E49" s="4">
        <v>16</v>
      </c>
      <c r="F49" s="4">
        <v>105</v>
      </c>
      <c r="G49" s="4">
        <f>INT(F49*1.4)</f>
        <v>147</v>
      </c>
      <c r="H49" s="10">
        <f>tbl_Sales4[[#This Row],[Qty]]*tbl_Sales4[[#This Row],[Unit price]]</f>
        <v>2352</v>
      </c>
      <c r="I49" s="10">
        <f>(tbl_Sales4[[#This Row],[Unit price]]-tbl_Sales4[[#This Row],[Unit cost]])*tbl_Sales4[[#This Row],[Qty]]</f>
        <v>672</v>
      </c>
    </row>
    <row r="50" spans="1:9" x14ac:dyDescent="0.25">
      <c r="A50" s="3">
        <v>44674</v>
      </c>
      <c r="B50" s="4" t="s">
        <v>28</v>
      </c>
      <c r="C50" s="4" t="s">
        <v>4</v>
      </c>
      <c r="D50" s="4" t="s">
        <v>10</v>
      </c>
      <c r="E50" s="4">
        <v>22</v>
      </c>
      <c r="F50" s="4">
        <v>362</v>
      </c>
      <c r="G50" s="4">
        <f>INT(F50*1.4)</f>
        <v>506</v>
      </c>
      <c r="H50" s="10">
        <f>tbl_Sales4[[#This Row],[Qty]]*tbl_Sales4[[#This Row],[Unit price]]</f>
        <v>11132</v>
      </c>
      <c r="I50" s="10">
        <f>(tbl_Sales4[[#This Row],[Unit price]]-tbl_Sales4[[#This Row],[Unit cost]])*tbl_Sales4[[#This Row],[Qty]]</f>
        <v>3168</v>
      </c>
    </row>
    <row r="51" spans="1:9" x14ac:dyDescent="0.25">
      <c r="A51" s="3">
        <v>44668</v>
      </c>
      <c r="B51" s="4" t="s">
        <v>29</v>
      </c>
      <c r="C51" s="4" t="s">
        <v>1</v>
      </c>
      <c r="D51" s="4" t="s">
        <v>11</v>
      </c>
      <c r="E51" s="4">
        <v>5</v>
      </c>
      <c r="F51" s="4">
        <v>385</v>
      </c>
      <c r="G51" s="4">
        <f>INT(F51*1.4)</f>
        <v>539</v>
      </c>
      <c r="H51" s="10">
        <f>tbl_Sales4[[#This Row],[Qty]]*tbl_Sales4[[#This Row],[Unit price]]</f>
        <v>2695</v>
      </c>
      <c r="I51" s="10">
        <f>(tbl_Sales4[[#This Row],[Unit price]]-tbl_Sales4[[#This Row],[Unit cost]])*tbl_Sales4[[#This Row],[Qty]]</f>
        <v>770</v>
      </c>
    </row>
    <row r="52" spans="1:9" x14ac:dyDescent="0.25">
      <c r="A52" s="3">
        <v>44668</v>
      </c>
      <c r="B52" s="4" t="s">
        <v>24</v>
      </c>
      <c r="C52" s="4" t="s">
        <v>1</v>
      </c>
      <c r="D52" s="4" t="s">
        <v>10</v>
      </c>
      <c r="E52" s="4">
        <v>20</v>
      </c>
      <c r="F52" s="4">
        <v>478</v>
      </c>
      <c r="G52" s="4">
        <f>INT(F52*1.4)</f>
        <v>669</v>
      </c>
      <c r="H52" s="10">
        <f>tbl_Sales4[[#This Row],[Qty]]*tbl_Sales4[[#This Row],[Unit price]]</f>
        <v>13380</v>
      </c>
      <c r="I52" s="10">
        <f>(tbl_Sales4[[#This Row],[Unit price]]-tbl_Sales4[[#This Row],[Unit cost]])*tbl_Sales4[[#This Row],[Qty]]</f>
        <v>3820</v>
      </c>
    </row>
    <row r="53" spans="1:9" x14ac:dyDescent="0.25">
      <c r="A53" s="3">
        <v>44662</v>
      </c>
      <c r="B53" s="4" t="s">
        <v>27</v>
      </c>
      <c r="C53" s="4" t="s">
        <v>1</v>
      </c>
      <c r="D53" s="4" t="s">
        <v>10</v>
      </c>
      <c r="E53" s="4">
        <v>14</v>
      </c>
      <c r="F53" s="4">
        <v>270</v>
      </c>
      <c r="G53" s="4">
        <f>INT(F53*1.4)</f>
        <v>378</v>
      </c>
      <c r="H53" s="10">
        <f>tbl_Sales4[[#This Row],[Qty]]*tbl_Sales4[[#This Row],[Unit price]]</f>
        <v>5292</v>
      </c>
      <c r="I53" s="10">
        <f>(tbl_Sales4[[#This Row],[Unit price]]-tbl_Sales4[[#This Row],[Unit cost]])*tbl_Sales4[[#This Row],[Qty]]</f>
        <v>1512</v>
      </c>
    </row>
    <row r="54" spans="1:9" x14ac:dyDescent="0.25">
      <c r="A54" s="3">
        <v>44662</v>
      </c>
      <c r="B54" s="4" t="s">
        <v>23</v>
      </c>
      <c r="C54" s="4" t="s">
        <v>6</v>
      </c>
      <c r="D54" s="4" t="s">
        <v>9</v>
      </c>
      <c r="E54" s="4">
        <v>21</v>
      </c>
      <c r="F54" s="4">
        <v>213</v>
      </c>
      <c r="G54" s="4">
        <f>INT(F54*1.4)</f>
        <v>298</v>
      </c>
      <c r="H54" s="10">
        <f>tbl_Sales4[[#This Row],[Qty]]*tbl_Sales4[[#This Row],[Unit price]]</f>
        <v>6258</v>
      </c>
      <c r="I54" s="10">
        <f>(tbl_Sales4[[#This Row],[Unit price]]-tbl_Sales4[[#This Row],[Unit cost]])*tbl_Sales4[[#This Row],[Qty]]</f>
        <v>1785</v>
      </c>
    </row>
    <row r="55" spans="1:9" x14ac:dyDescent="0.25">
      <c r="A55" s="3">
        <v>44656</v>
      </c>
      <c r="B55" s="4" t="s">
        <v>27</v>
      </c>
      <c r="C55" s="4" t="s">
        <v>1</v>
      </c>
      <c r="D55" s="4" t="s">
        <v>7</v>
      </c>
      <c r="E55" s="4">
        <v>6</v>
      </c>
      <c r="F55" s="4">
        <v>224</v>
      </c>
      <c r="G55" s="4">
        <f>INT(F55*1.4)</f>
        <v>313</v>
      </c>
      <c r="H55" s="10">
        <f>tbl_Sales4[[#This Row],[Qty]]*tbl_Sales4[[#This Row],[Unit price]]</f>
        <v>1878</v>
      </c>
      <c r="I55" s="10">
        <f>(tbl_Sales4[[#This Row],[Unit price]]-tbl_Sales4[[#This Row],[Unit cost]])*tbl_Sales4[[#This Row],[Qty]]</f>
        <v>534</v>
      </c>
    </row>
    <row r="56" spans="1:9" x14ac:dyDescent="0.25">
      <c r="A56" s="3">
        <v>44656</v>
      </c>
      <c r="B56" s="4" t="s">
        <v>22</v>
      </c>
      <c r="C56" s="4" t="s">
        <v>4</v>
      </c>
      <c r="D56" s="4" t="s">
        <v>9</v>
      </c>
      <c r="E56" s="4">
        <v>24</v>
      </c>
      <c r="F56" s="4">
        <v>472</v>
      </c>
      <c r="G56" s="4">
        <f>INT(F56*1.4)</f>
        <v>660</v>
      </c>
      <c r="H56" s="10">
        <f>tbl_Sales4[[#This Row],[Qty]]*tbl_Sales4[[#This Row],[Unit price]]</f>
        <v>15840</v>
      </c>
      <c r="I56" s="10">
        <f>(tbl_Sales4[[#This Row],[Unit price]]-tbl_Sales4[[#This Row],[Unit cost]])*tbl_Sales4[[#This Row],[Qty]]</f>
        <v>4512</v>
      </c>
    </row>
    <row r="57" spans="1:9" x14ac:dyDescent="0.25">
      <c r="A57" s="3">
        <v>44650</v>
      </c>
      <c r="B57" s="4" t="s">
        <v>26</v>
      </c>
      <c r="C57" s="4" t="s">
        <v>5</v>
      </c>
      <c r="D57" s="4" t="s">
        <v>9</v>
      </c>
      <c r="E57" s="4">
        <v>18</v>
      </c>
      <c r="F57" s="4">
        <v>427</v>
      </c>
      <c r="G57" s="4">
        <f>INT(F57*1.4)</f>
        <v>597</v>
      </c>
      <c r="H57" s="10">
        <f>tbl_Sales4[[#This Row],[Qty]]*tbl_Sales4[[#This Row],[Unit price]]</f>
        <v>10746</v>
      </c>
      <c r="I57" s="10">
        <f>(tbl_Sales4[[#This Row],[Unit price]]-tbl_Sales4[[#This Row],[Unit cost]])*tbl_Sales4[[#This Row],[Qty]]</f>
        <v>3060</v>
      </c>
    </row>
    <row r="58" spans="1:9" x14ac:dyDescent="0.25">
      <c r="A58" s="3">
        <v>44650</v>
      </c>
      <c r="B58" s="4" t="s">
        <v>17</v>
      </c>
      <c r="C58" s="4" t="s">
        <v>5</v>
      </c>
      <c r="D58" s="4" t="s">
        <v>8</v>
      </c>
      <c r="E58" s="4">
        <v>19</v>
      </c>
      <c r="F58" s="4">
        <v>300</v>
      </c>
      <c r="G58" s="4">
        <f>INT(F58*1.4)</f>
        <v>420</v>
      </c>
      <c r="H58" s="10">
        <f>tbl_Sales4[[#This Row],[Qty]]*tbl_Sales4[[#This Row],[Unit price]]</f>
        <v>7980</v>
      </c>
      <c r="I58" s="10">
        <f>(tbl_Sales4[[#This Row],[Unit price]]-tbl_Sales4[[#This Row],[Unit cost]])*tbl_Sales4[[#This Row],[Qty]]</f>
        <v>2280</v>
      </c>
    </row>
    <row r="59" spans="1:9" x14ac:dyDescent="0.25">
      <c r="A59" s="3">
        <v>44644</v>
      </c>
      <c r="B59" s="4" t="s">
        <v>26</v>
      </c>
      <c r="C59" s="4" t="s">
        <v>6</v>
      </c>
      <c r="D59" s="4" t="s">
        <v>10</v>
      </c>
      <c r="E59" s="4">
        <v>6</v>
      </c>
      <c r="F59" s="4">
        <v>265</v>
      </c>
      <c r="G59" s="4">
        <f>INT(F59*1.4)</f>
        <v>371</v>
      </c>
      <c r="H59" s="10">
        <f>tbl_Sales4[[#This Row],[Qty]]*tbl_Sales4[[#This Row],[Unit price]]</f>
        <v>2226</v>
      </c>
      <c r="I59" s="10">
        <f>(tbl_Sales4[[#This Row],[Unit price]]-tbl_Sales4[[#This Row],[Unit cost]])*tbl_Sales4[[#This Row],[Qty]]</f>
        <v>636</v>
      </c>
    </row>
    <row r="60" spans="1:9" x14ac:dyDescent="0.25">
      <c r="A60" s="3">
        <v>44644</v>
      </c>
      <c r="B60" s="4" t="s">
        <v>30</v>
      </c>
      <c r="C60" s="4" t="s">
        <v>5</v>
      </c>
      <c r="D60" s="4" t="s">
        <v>7</v>
      </c>
      <c r="E60" s="4">
        <v>23</v>
      </c>
      <c r="F60" s="4">
        <v>382</v>
      </c>
      <c r="G60" s="4">
        <f>INT(F60*1.4)</f>
        <v>534</v>
      </c>
      <c r="H60" s="10">
        <f>tbl_Sales4[[#This Row],[Qty]]*tbl_Sales4[[#This Row],[Unit price]]</f>
        <v>12282</v>
      </c>
      <c r="I60" s="10">
        <f>(tbl_Sales4[[#This Row],[Unit price]]-tbl_Sales4[[#This Row],[Unit cost]])*tbl_Sales4[[#This Row],[Qty]]</f>
        <v>3496</v>
      </c>
    </row>
    <row r="61" spans="1:9" x14ac:dyDescent="0.25">
      <c r="A61" s="3">
        <v>44638</v>
      </c>
      <c r="B61" s="4" t="s">
        <v>25</v>
      </c>
      <c r="C61" s="4" t="s">
        <v>4</v>
      </c>
      <c r="D61" s="4" t="s">
        <v>7</v>
      </c>
      <c r="E61" s="4">
        <v>8</v>
      </c>
      <c r="F61" s="4">
        <v>407</v>
      </c>
      <c r="G61" s="4">
        <f>INT(F61*1.4)</f>
        <v>569</v>
      </c>
      <c r="H61" s="10">
        <f>tbl_Sales4[[#This Row],[Qty]]*tbl_Sales4[[#This Row],[Unit price]]</f>
        <v>4552</v>
      </c>
      <c r="I61" s="10">
        <f>(tbl_Sales4[[#This Row],[Unit price]]-tbl_Sales4[[#This Row],[Unit cost]])*tbl_Sales4[[#This Row],[Qty]]</f>
        <v>1296</v>
      </c>
    </row>
    <row r="62" spans="1:9" x14ac:dyDescent="0.25">
      <c r="A62" s="3">
        <v>44638</v>
      </c>
      <c r="B62" s="4" t="s">
        <v>29</v>
      </c>
      <c r="C62" s="4" t="s">
        <v>5</v>
      </c>
      <c r="D62" s="4" t="s">
        <v>8</v>
      </c>
      <c r="E62" s="4">
        <v>15</v>
      </c>
      <c r="F62" s="4">
        <v>105</v>
      </c>
      <c r="G62" s="4">
        <f>INT(F62*1.4)</f>
        <v>147</v>
      </c>
      <c r="H62" s="10">
        <f>tbl_Sales4[[#This Row],[Qty]]*tbl_Sales4[[#This Row],[Unit price]]</f>
        <v>2205</v>
      </c>
      <c r="I62" s="10">
        <f>(tbl_Sales4[[#This Row],[Unit price]]-tbl_Sales4[[#This Row],[Unit cost]])*tbl_Sales4[[#This Row],[Qty]]</f>
        <v>630</v>
      </c>
    </row>
    <row r="63" spans="1:9" x14ac:dyDescent="0.25">
      <c r="A63" s="3">
        <v>44632</v>
      </c>
      <c r="B63" s="4" t="s">
        <v>25</v>
      </c>
      <c r="C63" s="4" t="s">
        <v>5</v>
      </c>
      <c r="D63" s="4" t="s">
        <v>11</v>
      </c>
      <c r="E63" s="4">
        <v>14</v>
      </c>
      <c r="F63" s="4">
        <v>434</v>
      </c>
      <c r="G63" s="4">
        <f>INT(F63*1.4)</f>
        <v>607</v>
      </c>
      <c r="H63" s="10">
        <f>tbl_Sales4[[#This Row],[Qty]]*tbl_Sales4[[#This Row],[Unit price]]</f>
        <v>8498</v>
      </c>
      <c r="I63" s="10">
        <f>(tbl_Sales4[[#This Row],[Unit price]]-tbl_Sales4[[#This Row],[Unit cost]])*tbl_Sales4[[#This Row],[Qty]]</f>
        <v>2422</v>
      </c>
    </row>
    <row r="64" spans="1:9" x14ac:dyDescent="0.25">
      <c r="A64" s="3">
        <v>44632</v>
      </c>
      <c r="B64" s="4" t="s">
        <v>29</v>
      </c>
      <c r="C64" s="4" t="s">
        <v>4</v>
      </c>
      <c r="D64" s="4" t="s">
        <v>8</v>
      </c>
      <c r="E64" s="4">
        <v>5</v>
      </c>
      <c r="F64" s="4">
        <v>385</v>
      </c>
      <c r="G64" s="4">
        <f>INT(F64*1.4)</f>
        <v>539</v>
      </c>
      <c r="H64" s="10">
        <f>tbl_Sales4[[#This Row],[Qty]]*tbl_Sales4[[#This Row],[Unit price]]</f>
        <v>2695</v>
      </c>
      <c r="I64" s="10">
        <f>(tbl_Sales4[[#This Row],[Unit price]]-tbl_Sales4[[#This Row],[Unit cost]])*tbl_Sales4[[#This Row],[Qty]]</f>
        <v>770</v>
      </c>
    </row>
    <row r="65" spans="1:9" x14ac:dyDescent="0.25">
      <c r="A65" s="3">
        <v>44626</v>
      </c>
      <c r="B65" s="4" t="s">
        <v>28</v>
      </c>
      <c r="C65" s="4" t="s">
        <v>6</v>
      </c>
      <c r="D65" s="4" t="s">
        <v>9</v>
      </c>
      <c r="E65" s="4">
        <v>19</v>
      </c>
      <c r="F65" s="4">
        <v>362</v>
      </c>
      <c r="G65" s="4">
        <f>INT(F65*1.4)</f>
        <v>506</v>
      </c>
      <c r="H65" s="10">
        <f>tbl_Sales4[[#This Row],[Qty]]*tbl_Sales4[[#This Row],[Unit price]]</f>
        <v>9614</v>
      </c>
      <c r="I65" s="10">
        <f>(tbl_Sales4[[#This Row],[Unit price]]-tbl_Sales4[[#This Row],[Unit cost]])*tbl_Sales4[[#This Row],[Qty]]</f>
        <v>2736</v>
      </c>
    </row>
    <row r="66" spans="1:9" x14ac:dyDescent="0.25">
      <c r="A66" s="3">
        <v>44626</v>
      </c>
      <c r="B66" s="4" t="s">
        <v>27</v>
      </c>
      <c r="C66" s="4" t="s">
        <v>4</v>
      </c>
      <c r="D66" s="4" t="s">
        <v>10</v>
      </c>
      <c r="E66" s="4">
        <v>13</v>
      </c>
      <c r="F66" s="4">
        <v>270</v>
      </c>
      <c r="G66" s="4">
        <f>INT(F66*1.4)</f>
        <v>378</v>
      </c>
      <c r="H66" s="10">
        <f>tbl_Sales4[[#This Row],[Qty]]*tbl_Sales4[[#This Row],[Unit price]]</f>
        <v>4914</v>
      </c>
      <c r="I66" s="10">
        <f>(tbl_Sales4[[#This Row],[Unit price]]-tbl_Sales4[[#This Row],[Unit cost]])*tbl_Sales4[[#This Row],[Qty]]</f>
        <v>1404</v>
      </c>
    </row>
    <row r="67" spans="1:9" x14ac:dyDescent="0.25">
      <c r="A67" s="3">
        <v>44620</v>
      </c>
      <c r="B67" s="4" t="s">
        <v>24</v>
      </c>
      <c r="C67" s="4" t="s">
        <v>4</v>
      </c>
      <c r="D67" s="4" t="s">
        <v>9</v>
      </c>
      <c r="E67" s="4">
        <v>10</v>
      </c>
      <c r="F67" s="4">
        <v>478</v>
      </c>
      <c r="G67" s="4">
        <f>INT(F67*1.4)</f>
        <v>669</v>
      </c>
      <c r="H67" s="10">
        <f>tbl_Sales4[[#This Row],[Qty]]*tbl_Sales4[[#This Row],[Unit price]]</f>
        <v>6690</v>
      </c>
      <c r="I67" s="10">
        <f>(tbl_Sales4[[#This Row],[Unit price]]-tbl_Sales4[[#This Row],[Unit cost]])*tbl_Sales4[[#This Row],[Qty]]</f>
        <v>1910</v>
      </c>
    </row>
    <row r="68" spans="1:9" x14ac:dyDescent="0.25">
      <c r="A68" s="3">
        <v>44620</v>
      </c>
      <c r="B68" s="4" t="s">
        <v>27</v>
      </c>
      <c r="C68" s="4" t="s">
        <v>1</v>
      </c>
      <c r="D68" s="4" t="s">
        <v>11</v>
      </c>
      <c r="E68" s="4">
        <v>21</v>
      </c>
      <c r="F68" s="4">
        <v>224</v>
      </c>
      <c r="G68" s="4">
        <f>INT(F68*1.4)</f>
        <v>313</v>
      </c>
      <c r="H68" s="10">
        <f>tbl_Sales4[[#This Row],[Qty]]*tbl_Sales4[[#This Row],[Unit price]]</f>
        <v>6573</v>
      </c>
      <c r="I68" s="10">
        <f>(tbl_Sales4[[#This Row],[Unit price]]-tbl_Sales4[[#This Row],[Unit cost]])*tbl_Sales4[[#This Row],[Qty]]</f>
        <v>1869</v>
      </c>
    </row>
    <row r="69" spans="1:9" x14ac:dyDescent="0.25">
      <c r="A69" s="3">
        <v>44614</v>
      </c>
      <c r="B69" s="4" t="s">
        <v>23</v>
      </c>
      <c r="C69" s="4" t="s">
        <v>5</v>
      </c>
      <c r="D69" s="4" t="s">
        <v>11</v>
      </c>
      <c r="E69" s="4">
        <v>19</v>
      </c>
      <c r="F69" s="4">
        <v>213</v>
      </c>
      <c r="G69" s="4">
        <f>INT(F69*1.4)</f>
        <v>298</v>
      </c>
      <c r="H69" s="10">
        <f>tbl_Sales4[[#This Row],[Qty]]*tbl_Sales4[[#This Row],[Unit price]]</f>
        <v>5662</v>
      </c>
      <c r="I69" s="10">
        <f>(tbl_Sales4[[#This Row],[Unit price]]-tbl_Sales4[[#This Row],[Unit cost]])*tbl_Sales4[[#This Row],[Qty]]</f>
        <v>1615</v>
      </c>
    </row>
    <row r="70" spans="1:9" x14ac:dyDescent="0.25">
      <c r="A70" s="3">
        <v>44614</v>
      </c>
      <c r="B70" s="4" t="s">
        <v>26</v>
      </c>
      <c r="C70" s="4" t="s">
        <v>1</v>
      </c>
      <c r="D70" s="4" t="s">
        <v>8</v>
      </c>
      <c r="E70" s="4">
        <v>8</v>
      </c>
      <c r="F70" s="4">
        <v>427</v>
      </c>
      <c r="G70" s="4">
        <f>INT(F70*1.4)</f>
        <v>597</v>
      </c>
      <c r="H70" s="10">
        <f>tbl_Sales4[[#This Row],[Qty]]*tbl_Sales4[[#This Row],[Unit price]]</f>
        <v>4776</v>
      </c>
      <c r="I70" s="10">
        <f>(tbl_Sales4[[#This Row],[Unit price]]-tbl_Sales4[[#This Row],[Unit cost]])*tbl_Sales4[[#This Row],[Qty]]</f>
        <v>1360</v>
      </c>
    </row>
    <row r="71" spans="1:9" x14ac:dyDescent="0.25">
      <c r="A71" s="3">
        <v>44608</v>
      </c>
      <c r="B71" s="4" t="s">
        <v>22</v>
      </c>
      <c r="C71" s="4" t="s">
        <v>6</v>
      </c>
      <c r="D71" s="4" t="s">
        <v>7</v>
      </c>
      <c r="E71" s="4">
        <v>17</v>
      </c>
      <c r="F71" s="4">
        <v>472</v>
      </c>
      <c r="G71" s="4">
        <f>INT(F71*1.4)</f>
        <v>660</v>
      </c>
      <c r="H71" s="10">
        <f>tbl_Sales4[[#This Row],[Qty]]*tbl_Sales4[[#This Row],[Unit price]]</f>
        <v>11220</v>
      </c>
      <c r="I71" s="10">
        <f>(tbl_Sales4[[#This Row],[Unit price]]-tbl_Sales4[[#This Row],[Unit cost]])*tbl_Sales4[[#This Row],[Qty]]</f>
        <v>3196</v>
      </c>
    </row>
    <row r="72" spans="1:9" x14ac:dyDescent="0.25">
      <c r="A72" s="3">
        <v>44608</v>
      </c>
      <c r="B72" s="4" t="s">
        <v>26</v>
      </c>
      <c r="C72" s="4" t="s">
        <v>1</v>
      </c>
      <c r="D72" s="4" t="s">
        <v>11</v>
      </c>
      <c r="E72" s="4">
        <v>10</v>
      </c>
      <c r="F72" s="4">
        <v>265</v>
      </c>
      <c r="G72" s="4">
        <f>INT(F72*1.4)</f>
        <v>371</v>
      </c>
      <c r="H72" s="10">
        <f>tbl_Sales4[[#This Row],[Qty]]*tbl_Sales4[[#This Row],[Unit price]]</f>
        <v>3710</v>
      </c>
      <c r="I72" s="10">
        <f>(tbl_Sales4[[#This Row],[Unit price]]-tbl_Sales4[[#This Row],[Unit cost]])*tbl_Sales4[[#This Row],[Qty]]</f>
        <v>1060</v>
      </c>
    </row>
    <row r="73" spans="1:9" x14ac:dyDescent="0.25">
      <c r="A73" s="3">
        <v>44602</v>
      </c>
      <c r="B73" s="4" t="s">
        <v>21</v>
      </c>
      <c r="C73" s="4" t="s">
        <v>1</v>
      </c>
      <c r="D73" s="4" t="s">
        <v>11</v>
      </c>
      <c r="E73" s="4">
        <v>5</v>
      </c>
      <c r="F73" s="4">
        <v>255</v>
      </c>
      <c r="G73" s="4">
        <f>INT(F73*1.4)</f>
        <v>357</v>
      </c>
      <c r="H73" s="10">
        <f>tbl_Sales4[[#This Row],[Qty]]*tbl_Sales4[[#This Row],[Unit price]]</f>
        <v>1785</v>
      </c>
      <c r="I73" s="10">
        <f>(tbl_Sales4[[#This Row],[Unit price]]-tbl_Sales4[[#This Row],[Unit cost]])*tbl_Sales4[[#This Row],[Qty]]</f>
        <v>510</v>
      </c>
    </row>
    <row r="74" spans="1:9" x14ac:dyDescent="0.25">
      <c r="A74" s="3">
        <v>44602</v>
      </c>
      <c r="B74" s="4" t="s">
        <v>25</v>
      </c>
      <c r="C74" s="4" t="s">
        <v>6</v>
      </c>
      <c r="D74" s="4" t="s">
        <v>9</v>
      </c>
      <c r="E74" s="4">
        <v>8</v>
      </c>
      <c r="F74" s="4">
        <v>407</v>
      </c>
      <c r="G74" s="4">
        <f>INT(F74*1.4)</f>
        <v>569</v>
      </c>
      <c r="H74" s="10">
        <f>tbl_Sales4[[#This Row],[Qty]]*tbl_Sales4[[#This Row],[Unit price]]</f>
        <v>4552</v>
      </c>
      <c r="I74" s="10">
        <f>(tbl_Sales4[[#This Row],[Unit price]]-tbl_Sales4[[#This Row],[Unit cost]])*tbl_Sales4[[#This Row],[Qty]]</f>
        <v>1296</v>
      </c>
    </row>
    <row r="75" spans="1:9" x14ac:dyDescent="0.25">
      <c r="A75" s="3">
        <v>44596</v>
      </c>
      <c r="B75" s="4" t="s">
        <v>20</v>
      </c>
      <c r="C75" s="4" t="s">
        <v>1</v>
      </c>
      <c r="D75" s="4" t="s">
        <v>8</v>
      </c>
      <c r="E75" s="4">
        <v>13</v>
      </c>
      <c r="F75" s="4">
        <v>278</v>
      </c>
      <c r="G75" s="4">
        <f>INT(F75*1.4)</f>
        <v>389</v>
      </c>
      <c r="H75" s="10">
        <f>tbl_Sales4[[#This Row],[Qty]]*tbl_Sales4[[#This Row],[Unit price]]</f>
        <v>5057</v>
      </c>
      <c r="I75" s="10">
        <f>(tbl_Sales4[[#This Row],[Unit price]]-tbl_Sales4[[#This Row],[Unit cost]])*tbl_Sales4[[#This Row],[Qty]]</f>
        <v>1443</v>
      </c>
    </row>
    <row r="76" spans="1:9" x14ac:dyDescent="0.25">
      <c r="A76" s="3">
        <v>44596</v>
      </c>
      <c r="B76" s="4" t="s">
        <v>25</v>
      </c>
      <c r="C76" s="4" t="s">
        <v>4</v>
      </c>
      <c r="D76" s="4" t="s">
        <v>9</v>
      </c>
      <c r="E76" s="4">
        <v>14</v>
      </c>
      <c r="F76" s="4">
        <v>434</v>
      </c>
      <c r="G76" s="4">
        <f>INT(F76*1.4)</f>
        <v>607</v>
      </c>
      <c r="H76" s="10">
        <f>tbl_Sales4[[#This Row],[Qty]]*tbl_Sales4[[#This Row],[Unit price]]</f>
        <v>8498</v>
      </c>
      <c r="I76" s="10">
        <f>(tbl_Sales4[[#This Row],[Unit price]]-tbl_Sales4[[#This Row],[Unit cost]])*tbl_Sales4[[#This Row],[Qty]]</f>
        <v>2422</v>
      </c>
    </row>
    <row r="77" spans="1:9" x14ac:dyDescent="0.25">
      <c r="A77" s="3">
        <v>44590</v>
      </c>
      <c r="B77" s="4" t="s">
        <v>19</v>
      </c>
      <c r="C77" s="4" t="s">
        <v>1</v>
      </c>
      <c r="D77" s="4" t="s">
        <v>11</v>
      </c>
      <c r="E77" s="4">
        <v>21</v>
      </c>
      <c r="F77" s="4">
        <v>206</v>
      </c>
      <c r="G77" s="4">
        <f>INT(F77*1.4)</f>
        <v>288</v>
      </c>
      <c r="H77" s="10">
        <f>tbl_Sales4[[#This Row],[Qty]]*tbl_Sales4[[#This Row],[Unit price]]</f>
        <v>6048</v>
      </c>
      <c r="I77" s="10">
        <f>(tbl_Sales4[[#This Row],[Unit price]]-tbl_Sales4[[#This Row],[Unit cost]])*tbl_Sales4[[#This Row],[Qty]]</f>
        <v>1722</v>
      </c>
    </row>
    <row r="78" spans="1:9" x14ac:dyDescent="0.25">
      <c r="A78" s="3">
        <v>44590</v>
      </c>
      <c r="B78" s="4" t="s">
        <v>28</v>
      </c>
      <c r="C78" s="4" t="s">
        <v>5</v>
      </c>
      <c r="D78" s="4" t="s">
        <v>11</v>
      </c>
      <c r="E78" s="4">
        <v>19</v>
      </c>
      <c r="F78" s="4">
        <v>362</v>
      </c>
      <c r="G78" s="4">
        <f>INT(F78*1.4)</f>
        <v>506</v>
      </c>
      <c r="H78" s="10">
        <f>tbl_Sales4[[#This Row],[Qty]]*tbl_Sales4[[#This Row],[Unit price]]</f>
        <v>9614</v>
      </c>
      <c r="I78" s="10">
        <f>(tbl_Sales4[[#This Row],[Unit price]]-tbl_Sales4[[#This Row],[Unit cost]])*tbl_Sales4[[#This Row],[Qty]]</f>
        <v>2736</v>
      </c>
    </row>
    <row r="79" spans="1:9" x14ac:dyDescent="0.25">
      <c r="A79" s="3">
        <v>44584</v>
      </c>
      <c r="B79" s="4" t="s">
        <v>18</v>
      </c>
      <c r="C79" s="4" t="s">
        <v>4</v>
      </c>
      <c r="D79" s="4" t="s">
        <v>8</v>
      </c>
      <c r="E79" s="4">
        <v>8</v>
      </c>
      <c r="F79" s="4">
        <v>474</v>
      </c>
      <c r="G79" s="4">
        <f>INT(F79*1.4)</f>
        <v>663</v>
      </c>
      <c r="H79" s="10">
        <f>tbl_Sales4[[#This Row],[Qty]]*tbl_Sales4[[#This Row],[Unit price]]</f>
        <v>5304</v>
      </c>
      <c r="I79" s="10">
        <f>(tbl_Sales4[[#This Row],[Unit price]]-tbl_Sales4[[#This Row],[Unit cost]])*tbl_Sales4[[#This Row],[Qty]]</f>
        <v>1512</v>
      </c>
    </row>
    <row r="80" spans="1:9" x14ac:dyDescent="0.25">
      <c r="A80" s="3">
        <v>44584</v>
      </c>
      <c r="B80" s="4" t="s">
        <v>17</v>
      </c>
      <c r="C80" s="4" t="s">
        <v>6</v>
      </c>
      <c r="D80" s="4" t="s">
        <v>7</v>
      </c>
      <c r="E80" s="4">
        <v>10</v>
      </c>
      <c r="F80" s="4">
        <v>300</v>
      </c>
      <c r="G80" s="4">
        <f>INT(F80*1.4)</f>
        <v>420</v>
      </c>
      <c r="H80" s="10">
        <f>tbl_Sales4[[#This Row],[Qty]]*tbl_Sales4[[#This Row],[Unit price]]</f>
        <v>4200</v>
      </c>
      <c r="I80" s="10">
        <f>(tbl_Sales4[[#This Row],[Unit price]]-tbl_Sales4[[#This Row],[Unit cost]])*tbl_Sales4[[#This Row],[Qty]]</f>
        <v>1200</v>
      </c>
    </row>
    <row r="81" spans="1:9" x14ac:dyDescent="0.25">
      <c r="A81" s="3">
        <v>44578</v>
      </c>
      <c r="B81" s="4" t="s">
        <v>17</v>
      </c>
      <c r="C81" s="4" t="s">
        <v>4</v>
      </c>
      <c r="D81" s="4" t="s">
        <v>10</v>
      </c>
      <c r="E81" s="4">
        <v>10</v>
      </c>
      <c r="F81" s="4">
        <v>228</v>
      </c>
      <c r="G81" s="4">
        <f>INT(F81*1.4)</f>
        <v>319</v>
      </c>
      <c r="H81" s="10">
        <f>tbl_Sales4[[#This Row],[Qty]]*tbl_Sales4[[#This Row],[Unit price]]</f>
        <v>3190</v>
      </c>
      <c r="I81" s="10">
        <f>(tbl_Sales4[[#This Row],[Unit price]]-tbl_Sales4[[#This Row],[Unit cost]])*tbl_Sales4[[#This Row],[Qty]]</f>
        <v>910</v>
      </c>
    </row>
    <row r="82" spans="1:9" x14ac:dyDescent="0.25">
      <c r="A82" s="3">
        <v>44578</v>
      </c>
      <c r="B82" s="4" t="s">
        <v>30</v>
      </c>
      <c r="C82" s="4" t="s">
        <v>5</v>
      </c>
      <c r="D82" s="4" t="s">
        <v>11</v>
      </c>
      <c r="E82" s="4">
        <v>5</v>
      </c>
      <c r="F82" s="4">
        <v>382</v>
      </c>
      <c r="G82" s="4">
        <f>INT(F82*1.4)</f>
        <v>534</v>
      </c>
      <c r="H82" s="10">
        <f>tbl_Sales4[[#This Row],[Qty]]*tbl_Sales4[[#This Row],[Unit price]]</f>
        <v>2670</v>
      </c>
      <c r="I82" s="10">
        <f>(tbl_Sales4[[#This Row],[Unit price]]-tbl_Sales4[[#This Row],[Unit cost]])*tbl_Sales4[[#This Row],[Qty]]</f>
        <v>760</v>
      </c>
    </row>
    <row r="83" spans="1:9" x14ac:dyDescent="0.25">
      <c r="A83" s="3">
        <v>44572</v>
      </c>
      <c r="B83" s="4" t="s">
        <v>16</v>
      </c>
      <c r="C83" s="4" t="s">
        <v>6</v>
      </c>
      <c r="D83" s="4" t="s">
        <v>9</v>
      </c>
      <c r="E83" s="4">
        <v>19</v>
      </c>
      <c r="F83" s="4">
        <v>360</v>
      </c>
      <c r="G83" s="4">
        <f>INT(F83*1.4)</f>
        <v>504</v>
      </c>
      <c r="H83" s="10">
        <f>tbl_Sales4[[#This Row],[Qty]]*tbl_Sales4[[#This Row],[Unit price]]</f>
        <v>9576</v>
      </c>
      <c r="I83" s="10">
        <f>(tbl_Sales4[[#This Row],[Unit price]]-tbl_Sales4[[#This Row],[Unit cost]])*tbl_Sales4[[#This Row],[Qty]]</f>
        <v>2736</v>
      </c>
    </row>
    <row r="84" spans="1:9" x14ac:dyDescent="0.25">
      <c r="A84" s="3">
        <v>44547</v>
      </c>
      <c r="B84" s="4" t="s">
        <v>25</v>
      </c>
      <c r="C84" s="4" t="s">
        <v>1</v>
      </c>
      <c r="D84" s="4" t="s">
        <v>11</v>
      </c>
      <c r="E84" s="4">
        <v>20</v>
      </c>
      <c r="F84" s="4">
        <v>407</v>
      </c>
      <c r="G84" s="4">
        <f>INT(F84*1.4)</f>
        <v>569</v>
      </c>
      <c r="H84" s="10">
        <f>tbl_Sales4[[#This Row],[Qty]]*tbl_Sales4[[#This Row],[Unit price]]</f>
        <v>11380</v>
      </c>
      <c r="I84" s="10">
        <f>(tbl_Sales4[[#This Row],[Unit price]]-tbl_Sales4[[#This Row],[Unit cost]])*tbl_Sales4[[#This Row],[Qty]]</f>
        <v>3240</v>
      </c>
    </row>
    <row r="85" spans="1:9" x14ac:dyDescent="0.25">
      <c r="A85" s="3">
        <v>44540</v>
      </c>
      <c r="B85" s="4" t="s">
        <v>29</v>
      </c>
      <c r="C85" s="4" t="s">
        <v>4</v>
      </c>
      <c r="D85" s="4" t="s">
        <v>9</v>
      </c>
      <c r="E85" s="4">
        <v>12</v>
      </c>
      <c r="F85" s="4">
        <v>105</v>
      </c>
      <c r="G85" s="4">
        <f>INT(F85*1.4)</f>
        <v>147</v>
      </c>
      <c r="H85" s="10">
        <f>tbl_Sales4[[#This Row],[Qty]]*tbl_Sales4[[#This Row],[Unit price]]</f>
        <v>1764</v>
      </c>
      <c r="I85" s="10">
        <f>(tbl_Sales4[[#This Row],[Unit price]]-tbl_Sales4[[#This Row],[Unit cost]])*tbl_Sales4[[#This Row],[Qty]]</f>
        <v>504</v>
      </c>
    </row>
    <row r="86" spans="1:9" x14ac:dyDescent="0.25">
      <c r="A86" s="3">
        <v>44535</v>
      </c>
      <c r="B86" s="4" t="s">
        <v>27</v>
      </c>
      <c r="C86" s="4" t="s">
        <v>5</v>
      </c>
      <c r="D86" s="4" t="s">
        <v>11</v>
      </c>
      <c r="E86" s="4">
        <v>14</v>
      </c>
      <c r="F86" s="4">
        <v>270</v>
      </c>
      <c r="G86" s="4">
        <f>INT(F86*1.4)</f>
        <v>378</v>
      </c>
      <c r="H86" s="10">
        <f>tbl_Sales4[[#This Row],[Qty]]*tbl_Sales4[[#This Row],[Unit price]]</f>
        <v>5292</v>
      </c>
      <c r="I86" s="10">
        <f>(tbl_Sales4[[#This Row],[Unit price]]-tbl_Sales4[[#This Row],[Unit cost]])*tbl_Sales4[[#This Row],[Qty]]</f>
        <v>1512</v>
      </c>
    </row>
    <row r="87" spans="1:9" x14ac:dyDescent="0.25">
      <c r="A87" s="3">
        <v>44535</v>
      </c>
      <c r="B87" s="4" t="s">
        <v>29</v>
      </c>
      <c r="C87" s="4" t="s">
        <v>1</v>
      </c>
      <c r="D87" s="4" t="s">
        <v>8</v>
      </c>
      <c r="E87" s="4">
        <v>5</v>
      </c>
      <c r="F87" s="4">
        <v>385</v>
      </c>
      <c r="G87" s="4">
        <f>INT(F87*1.4)</f>
        <v>539</v>
      </c>
      <c r="H87" s="10">
        <f>tbl_Sales4[[#This Row],[Qty]]*tbl_Sales4[[#This Row],[Unit price]]</f>
        <v>2695</v>
      </c>
      <c r="I87" s="10">
        <f>(tbl_Sales4[[#This Row],[Unit price]]-tbl_Sales4[[#This Row],[Unit cost]])*tbl_Sales4[[#This Row],[Qty]]</f>
        <v>770</v>
      </c>
    </row>
    <row r="88" spans="1:9" x14ac:dyDescent="0.25">
      <c r="A88" s="3">
        <v>44528</v>
      </c>
      <c r="B88" s="4" t="s">
        <v>27</v>
      </c>
      <c r="C88" s="4" t="s">
        <v>1</v>
      </c>
      <c r="D88" s="4" t="s">
        <v>11</v>
      </c>
      <c r="E88" s="4">
        <v>22</v>
      </c>
      <c r="F88" s="4">
        <v>224</v>
      </c>
      <c r="G88" s="4">
        <f>INT(F88*1.4)</f>
        <v>313</v>
      </c>
      <c r="H88" s="10">
        <f>tbl_Sales4[[#This Row],[Qty]]*tbl_Sales4[[#This Row],[Unit price]]</f>
        <v>6886</v>
      </c>
      <c r="I88" s="10">
        <f>(tbl_Sales4[[#This Row],[Unit price]]-tbl_Sales4[[#This Row],[Unit cost]])*tbl_Sales4[[#This Row],[Qty]]</f>
        <v>1958</v>
      </c>
    </row>
    <row r="89" spans="1:9" x14ac:dyDescent="0.25">
      <c r="A89" s="3">
        <v>44521</v>
      </c>
      <c r="B89" s="4" t="s">
        <v>26</v>
      </c>
      <c r="C89" s="4" t="s">
        <v>6</v>
      </c>
      <c r="D89" s="4" t="s">
        <v>7</v>
      </c>
      <c r="E89" s="4">
        <v>20</v>
      </c>
      <c r="F89" s="4">
        <v>427</v>
      </c>
      <c r="G89" s="4">
        <f>INT(F89*1.4)</f>
        <v>597</v>
      </c>
      <c r="H89" s="10">
        <f>tbl_Sales4[[#This Row],[Qty]]*tbl_Sales4[[#This Row],[Unit price]]</f>
        <v>11940</v>
      </c>
      <c r="I89" s="10">
        <f>(tbl_Sales4[[#This Row],[Unit price]]-tbl_Sales4[[#This Row],[Unit cost]])*tbl_Sales4[[#This Row],[Qty]]</f>
        <v>3400</v>
      </c>
    </row>
    <row r="90" spans="1:9" x14ac:dyDescent="0.25">
      <c r="A90" s="3">
        <v>44514</v>
      </c>
      <c r="B90" s="4" t="s">
        <v>26</v>
      </c>
      <c r="C90" s="4" t="s">
        <v>4</v>
      </c>
      <c r="D90" s="4" t="s">
        <v>11</v>
      </c>
      <c r="E90" s="4">
        <v>21</v>
      </c>
      <c r="F90" s="4">
        <v>265</v>
      </c>
      <c r="G90" s="4">
        <f>INT(F90*1.4)</f>
        <v>371</v>
      </c>
      <c r="H90" s="10">
        <f>tbl_Sales4[[#This Row],[Qty]]*tbl_Sales4[[#This Row],[Unit price]]</f>
        <v>7791</v>
      </c>
      <c r="I90" s="10">
        <f>(tbl_Sales4[[#This Row],[Unit price]]-tbl_Sales4[[#This Row],[Unit cost]])*tbl_Sales4[[#This Row],[Qty]]</f>
        <v>2226</v>
      </c>
    </row>
    <row r="91" spans="1:9" x14ac:dyDescent="0.25">
      <c r="A91" s="3">
        <v>44507</v>
      </c>
      <c r="B91" s="4" t="s">
        <v>25</v>
      </c>
      <c r="C91" s="4" t="s">
        <v>5</v>
      </c>
      <c r="D91" s="4" t="s">
        <v>10</v>
      </c>
      <c r="E91" s="4">
        <v>24</v>
      </c>
      <c r="F91" s="4">
        <v>407</v>
      </c>
      <c r="G91" s="4">
        <f>INT(F91*1.4)</f>
        <v>569</v>
      </c>
      <c r="H91" s="10">
        <f>tbl_Sales4[[#This Row],[Qty]]*tbl_Sales4[[#This Row],[Unit price]]</f>
        <v>13656</v>
      </c>
      <c r="I91" s="10">
        <f>(tbl_Sales4[[#This Row],[Unit price]]-tbl_Sales4[[#This Row],[Unit cost]])*tbl_Sales4[[#This Row],[Qty]]</f>
        <v>3888</v>
      </c>
    </row>
    <row r="92" spans="1:9" x14ac:dyDescent="0.25">
      <c r="A92" s="3">
        <v>44481</v>
      </c>
      <c r="B92" s="4" t="s">
        <v>17</v>
      </c>
      <c r="C92" s="4" t="s">
        <v>5</v>
      </c>
      <c r="D92" s="4" t="s">
        <v>10</v>
      </c>
      <c r="E92" s="4">
        <v>13</v>
      </c>
      <c r="F92" s="4">
        <v>300</v>
      </c>
      <c r="G92" s="4">
        <f>INT(F92*1.4)</f>
        <v>420</v>
      </c>
      <c r="H92" s="10">
        <f>tbl_Sales4[[#This Row],[Qty]]*tbl_Sales4[[#This Row],[Unit price]]</f>
        <v>5460</v>
      </c>
      <c r="I92" s="10">
        <f>(tbl_Sales4[[#This Row],[Unit price]]-tbl_Sales4[[#This Row],[Unit cost]])*tbl_Sales4[[#This Row],[Qty]]</f>
        <v>1560</v>
      </c>
    </row>
    <row r="93" spans="1:9" x14ac:dyDescent="0.25">
      <c r="A93" s="3">
        <v>44474</v>
      </c>
      <c r="B93" s="4" t="s">
        <v>30</v>
      </c>
      <c r="C93" s="4" t="s">
        <v>5</v>
      </c>
      <c r="D93" s="4" t="s">
        <v>8</v>
      </c>
      <c r="E93" s="4">
        <v>7</v>
      </c>
      <c r="F93" s="4">
        <v>382</v>
      </c>
      <c r="G93" s="4">
        <f>INT(F93*1.4)</f>
        <v>534</v>
      </c>
      <c r="H93" s="10">
        <f>tbl_Sales4[[#This Row],[Qty]]*tbl_Sales4[[#This Row],[Unit price]]</f>
        <v>3738</v>
      </c>
      <c r="I93" s="10">
        <f>(tbl_Sales4[[#This Row],[Unit price]]-tbl_Sales4[[#This Row],[Unit cost]])*tbl_Sales4[[#This Row],[Qty]]</f>
        <v>1064</v>
      </c>
    </row>
    <row r="94" spans="1:9" x14ac:dyDescent="0.25">
      <c r="A94" s="3">
        <v>44467</v>
      </c>
      <c r="B94" s="4" t="s">
        <v>29</v>
      </c>
      <c r="C94" s="4" t="s">
        <v>6</v>
      </c>
      <c r="D94" s="4" t="s">
        <v>8</v>
      </c>
      <c r="E94" s="4">
        <v>24</v>
      </c>
      <c r="F94" s="4">
        <v>105</v>
      </c>
      <c r="G94" s="4">
        <f>INT(F94*1.4)</f>
        <v>147</v>
      </c>
      <c r="H94" s="10">
        <f>tbl_Sales4[[#This Row],[Qty]]*tbl_Sales4[[#This Row],[Unit price]]</f>
        <v>3528</v>
      </c>
      <c r="I94" s="10">
        <f>(tbl_Sales4[[#This Row],[Unit price]]-tbl_Sales4[[#This Row],[Unit cost]])*tbl_Sales4[[#This Row],[Qty]]</f>
        <v>1008</v>
      </c>
    </row>
    <row r="95" spans="1:9" x14ac:dyDescent="0.25">
      <c r="A95" s="3">
        <v>44460</v>
      </c>
      <c r="B95" s="4" t="s">
        <v>29</v>
      </c>
      <c r="C95" s="4" t="s">
        <v>5</v>
      </c>
      <c r="D95" s="4" t="s">
        <v>11</v>
      </c>
      <c r="E95" s="4">
        <v>11</v>
      </c>
      <c r="F95" s="4">
        <v>385</v>
      </c>
      <c r="G95" s="4">
        <f>INT(F95*1.4)</f>
        <v>539</v>
      </c>
      <c r="H95" s="10">
        <f>tbl_Sales4[[#This Row],[Qty]]*tbl_Sales4[[#This Row],[Unit price]]</f>
        <v>5929</v>
      </c>
      <c r="I95" s="10">
        <f>(tbl_Sales4[[#This Row],[Unit price]]-tbl_Sales4[[#This Row],[Unit cost]])*tbl_Sales4[[#This Row],[Qty]]</f>
        <v>1694</v>
      </c>
    </row>
    <row r="96" spans="1:9" x14ac:dyDescent="0.25">
      <c r="A96" s="3">
        <v>44453</v>
      </c>
      <c r="B96" s="4" t="s">
        <v>27</v>
      </c>
      <c r="C96" s="4" t="s">
        <v>6</v>
      </c>
      <c r="D96" s="4" t="s">
        <v>11</v>
      </c>
      <c r="E96" s="4">
        <v>6</v>
      </c>
      <c r="F96" s="4">
        <v>270</v>
      </c>
      <c r="G96" s="4">
        <f>INT(F96*1.4)</f>
        <v>378</v>
      </c>
      <c r="H96" s="10">
        <f>tbl_Sales4[[#This Row],[Qty]]*tbl_Sales4[[#This Row],[Unit price]]</f>
        <v>2268</v>
      </c>
      <c r="I96" s="10">
        <f>(tbl_Sales4[[#This Row],[Unit price]]-tbl_Sales4[[#This Row],[Unit cost]])*tbl_Sales4[[#This Row],[Qty]]</f>
        <v>648</v>
      </c>
    </row>
    <row r="97" spans="1:9" x14ac:dyDescent="0.25">
      <c r="A97" s="3">
        <v>44446</v>
      </c>
      <c r="B97" s="4" t="s">
        <v>27</v>
      </c>
      <c r="C97" s="4" t="s">
        <v>1</v>
      </c>
      <c r="D97" s="4" t="s">
        <v>8</v>
      </c>
      <c r="E97" s="4">
        <v>3</v>
      </c>
      <c r="F97" s="4">
        <v>224</v>
      </c>
      <c r="G97" s="4">
        <f>INT(F97*1.4)</f>
        <v>313</v>
      </c>
      <c r="H97" s="10">
        <f>tbl_Sales4[[#This Row],[Qty]]*tbl_Sales4[[#This Row],[Unit price]]</f>
        <v>939</v>
      </c>
      <c r="I97" s="10">
        <f>(tbl_Sales4[[#This Row],[Unit price]]-tbl_Sales4[[#This Row],[Unit cost]])*tbl_Sales4[[#This Row],[Qty]]</f>
        <v>267</v>
      </c>
    </row>
    <row r="98" spans="1:9" x14ac:dyDescent="0.25">
      <c r="A98" s="3">
        <v>44439</v>
      </c>
      <c r="B98" s="4" t="s">
        <v>26</v>
      </c>
      <c r="C98" s="4" t="s">
        <v>1</v>
      </c>
      <c r="D98" s="4" t="s">
        <v>9</v>
      </c>
      <c r="E98" s="4">
        <v>3</v>
      </c>
      <c r="F98" s="4">
        <v>427</v>
      </c>
      <c r="G98" s="4">
        <f>INT(F98*1.4)</f>
        <v>597</v>
      </c>
      <c r="H98" s="10">
        <f>tbl_Sales4[[#This Row],[Qty]]*tbl_Sales4[[#This Row],[Unit price]]</f>
        <v>1791</v>
      </c>
      <c r="I98" s="10">
        <f>(tbl_Sales4[[#This Row],[Unit price]]-tbl_Sales4[[#This Row],[Unit cost]])*tbl_Sales4[[#This Row],[Qty]]</f>
        <v>510</v>
      </c>
    </row>
    <row r="99" spans="1:9" x14ac:dyDescent="0.25">
      <c r="A99" s="3">
        <v>44439</v>
      </c>
      <c r="B99" s="4" t="s">
        <v>25</v>
      </c>
      <c r="C99" s="4" t="s">
        <v>4</v>
      </c>
      <c r="D99" s="4" t="s">
        <v>10</v>
      </c>
      <c r="E99" s="4">
        <v>5</v>
      </c>
      <c r="F99" s="4">
        <v>434</v>
      </c>
      <c r="G99" s="4">
        <f>INT(F99*1.4)</f>
        <v>607</v>
      </c>
      <c r="H99" s="10">
        <f>tbl_Sales4[[#This Row],[Qty]]*tbl_Sales4[[#This Row],[Unit price]]</f>
        <v>3035</v>
      </c>
      <c r="I99" s="10">
        <f>(tbl_Sales4[[#This Row],[Unit price]]-tbl_Sales4[[#This Row],[Unit cost]])*tbl_Sales4[[#This Row],[Qty]]</f>
        <v>865</v>
      </c>
    </row>
    <row r="100" spans="1:9" x14ac:dyDescent="0.25">
      <c r="A100" s="3">
        <v>44432</v>
      </c>
      <c r="B100" s="4" t="s">
        <v>26</v>
      </c>
      <c r="C100" s="4" t="s">
        <v>6</v>
      </c>
      <c r="D100" s="4" t="s">
        <v>8</v>
      </c>
      <c r="E100" s="4">
        <v>6</v>
      </c>
      <c r="F100" s="4">
        <v>265</v>
      </c>
      <c r="G100" s="4">
        <f>INT(F100*1.4)</f>
        <v>371</v>
      </c>
      <c r="H100" s="10">
        <f>tbl_Sales4[[#This Row],[Qty]]*tbl_Sales4[[#This Row],[Unit price]]</f>
        <v>2226</v>
      </c>
      <c r="I100" s="10">
        <f>(tbl_Sales4[[#This Row],[Unit price]]-tbl_Sales4[[#This Row],[Unit cost]])*tbl_Sales4[[#This Row],[Qty]]</f>
        <v>636</v>
      </c>
    </row>
    <row r="101" spans="1:9" x14ac:dyDescent="0.25">
      <c r="A101" s="3">
        <v>44432</v>
      </c>
      <c r="B101" s="4" t="s">
        <v>28</v>
      </c>
      <c r="C101" s="4" t="s">
        <v>4</v>
      </c>
      <c r="D101" s="4" t="s">
        <v>8</v>
      </c>
      <c r="E101" s="4">
        <v>2</v>
      </c>
      <c r="F101" s="4">
        <v>362</v>
      </c>
      <c r="G101" s="4">
        <f>INT(F101*1.4)</f>
        <v>506</v>
      </c>
      <c r="H101" s="10">
        <f>tbl_Sales4[[#This Row],[Qty]]*tbl_Sales4[[#This Row],[Unit price]]</f>
        <v>1012</v>
      </c>
      <c r="I101" s="10">
        <f>(tbl_Sales4[[#This Row],[Unit price]]-tbl_Sales4[[#This Row],[Unit cost]])*tbl_Sales4[[#This Row],[Qty]]</f>
        <v>288</v>
      </c>
    </row>
    <row r="102" spans="1:9" x14ac:dyDescent="0.25">
      <c r="A102" s="3">
        <v>44425</v>
      </c>
      <c r="B102" s="4" t="s">
        <v>17</v>
      </c>
      <c r="C102" s="4" t="s">
        <v>5</v>
      </c>
      <c r="D102" s="4" t="s">
        <v>7</v>
      </c>
      <c r="E102" s="4">
        <v>1</v>
      </c>
      <c r="F102" s="4">
        <v>300</v>
      </c>
      <c r="G102" s="4">
        <f>INT(F102*1.4)</f>
        <v>420</v>
      </c>
      <c r="H102" s="10">
        <f>tbl_Sales4[[#This Row],[Qty]]*tbl_Sales4[[#This Row],[Unit price]]</f>
        <v>420</v>
      </c>
      <c r="I102" s="10">
        <f>(tbl_Sales4[[#This Row],[Unit price]]-tbl_Sales4[[#This Row],[Unit cost]])*tbl_Sales4[[#This Row],[Qty]]</f>
        <v>120</v>
      </c>
    </row>
    <row r="103" spans="1:9" x14ac:dyDescent="0.25">
      <c r="A103" s="3">
        <v>44418</v>
      </c>
      <c r="B103" s="4" t="s">
        <v>25</v>
      </c>
      <c r="C103" s="4" t="s">
        <v>4</v>
      </c>
      <c r="D103" s="4" t="s">
        <v>9</v>
      </c>
      <c r="E103" s="4">
        <v>7</v>
      </c>
      <c r="F103" s="4">
        <v>434</v>
      </c>
      <c r="G103" s="4">
        <f>INT(F103*1.4)</f>
        <v>607</v>
      </c>
      <c r="H103" s="10">
        <f>tbl_Sales4[[#This Row],[Qty]]*tbl_Sales4[[#This Row],[Unit price]]</f>
        <v>4249</v>
      </c>
      <c r="I103" s="10">
        <f>(tbl_Sales4[[#This Row],[Unit price]]-tbl_Sales4[[#This Row],[Unit cost]])*tbl_Sales4[[#This Row],[Qty]]</f>
        <v>1211</v>
      </c>
    </row>
    <row r="104" spans="1:9" x14ac:dyDescent="0.25">
      <c r="A104" s="3">
        <v>44418</v>
      </c>
      <c r="B104" s="4" t="s">
        <v>30</v>
      </c>
      <c r="C104" s="4" t="s">
        <v>1</v>
      </c>
      <c r="D104" s="4" t="s">
        <v>7</v>
      </c>
      <c r="E104" s="4">
        <v>8</v>
      </c>
      <c r="F104" s="4">
        <v>382</v>
      </c>
      <c r="G104" s="4">
        <f>INT(F104*1.4)</f>
        <v>534</v>
      </c>
      <c r="H104" s="10">
        <f>tbl_Sales4[[#This Row],[Qty]]*tbl_Sales4[[#This Row],[Unit price]]</f>
        <v>4272</v>
      </c>
      <c r="I104" s="10">
        <f>(tbl_Sales4[[#This Row],[Unit price]]-tbl_Sales4[[#This Row],[Unit cost]])*tbl_Sales4[[#This Row],[Qty]]</f>
        <v>1216</v>
      </c>
    </row>
    <row r="105" spans="1:9" x14ac:dyDescent="0.25">
      <c r="A105" s="3">
        <v>44411</v>
      </c>
      <c r="B105" s="4" t="s">
        <v>28</v>
      </c>
      <c r="C105" s="4" t="s">
        <v>4</v>
      </c>
      <c r="D105" s="4" t="s">
        <v>10</v>
      </c>
      <c r="E105" s="4">
        <v>3</v>
      </c>
      <c r="F105" s="4">
        <v>362</v>
      </c>
      <c r="G105" s="4">
        <f>INT(F105*1.4)</f>
        <v>506</v>
      </c>
      <c r="H105" s="10">
        <f>tbl_Sales4[[#This Row],[Qty]]*tbl_Sales4[[#This Row],[Unit price]]</f>
        <v>1518</v>
      </c>
      <c r="I105" s="10">
        <f>(tbl_Sales4[[#This Row],[Unit price]]-tbl_Sales4[[#This Row],[Unit cost]])*tbl_Sales4[[#This Row],[Qty]]</f>
        <v>432</v>
      </c>
    </row>
    <row r="106" spans="1:9" x14ac:dyDescent="0.25">
      <c r="A106" s="3">
        <v>44411</v>
      </c>
      <c r="B106" s="4" t="s">
        <v>29</v>
      </c>
      <c r="C106" s="4" t="s">
        <v>4</v>
      </c>
      <c r="D106" s="4" t="s">
        <v>11</v>
      </c>
      <c r="E106" s="4">
        <v>4</v>
      </c>
      <c r="F106" s="4">
        <v>105</v>
      </c>
      <c r="G106" s="4">
        <f>INT(F106*1.4)</f>
        <v>147</v>
      </c>
      <c r="H106" s="10">
        <f>tbl_Sales4[[#This Row],[Qty]]*tbl_Sales4[[#This Row],[Unit price]]</f>
        <v>588</v>
      </c>
      <c r="I106" s="10">
        <f>(tbl_Sales4[[#This Row],[Unit price]]-tbl_Sales4[[#This Row],[Unit cost]])*tbl_Sales4[[#This Row],[Qty]]</f>
        <v>168</v>
      </c>
    </row>
    <row r="107" spans="1:9" x14ac:dyDescent="0.25">
      <c r="A107" s="3">
        <v>44404</v>
      </c>
      <c r="B107" s="4" t="s">
        <v>24</v>
      </c>
      <c r="C107" s="4" t="s">
        <v>4</v>
      </c>
      <c r="D107" s="4" t="s">
        <v>8</v>
      </c>
      <c r="E107" s="4">
        <v>3</v>
      </c>
      <c r="F107" s="4">
        <v>478</v>
      </c>
      <c r="G107" s="4">
        <f>INT(F107*1.4)</f>
        <v>669</v>
      </c>
      <c r="H107" s="10">
        <f>tbl_Sales4[[#This Row],[Qty]]*tbl_Sales4[[#This Row],[Unit price]]</f>
        <v>2007</v>
      </c>
      <c r="I107" s="10">
        <f>(tbl_Sales4[[#This Row],[Unit price]]-tbl_Sales4[[#This Row],[Unit cost]])*tbl_Sales4[[#This Row],[Qty]]</f>
        <v>573</v>
      </c>
    </row>
    <row r="108" spans="1:9" x14ac:dyDescent="0.25">
      <c r="A108" s="3">
        <v>44404</v>
      </c>
      <c r="B108" s="4" t="s">
        <v>29</v>
      </c>
      <c r="C108" s="4" t="s">
        <v>4</v>
      </c>
      <c r="D108" s="4" t="s">
        <v>10</v>
      </c>
      <c r="E108" s="4">
        <v>9</v>
      </c>
      <c r="F108" s="4">
        <v>385</v>
      </c>
      <c r="G108" s="4">
        <f>INT(F108*1.4)</f>
        <v>539</v>
      </c>
      <c r="H108" s="10">
        <f>tbl_Sales4[[#This Row],[Qty]]*tbl_Sales4[[#This Row],[Unit price]]</f>
        <v>4851</v>
      </c>
      <c r="I108" s="10">
        <f>(tbl_Sales4[[#This Row],[Unit price]]-tbl_Sales4[[#This Row],[Unit cost]])*tbl_Sales4[[#This Row],[Qty]]</f>
        <v>1386</v>
      </c>
    </row>
    <row r="109" spans="1:9" x14ac:dyDescent="0.25">
      <c r="A109" s="3">
        <v>44397</v>
      </c>
      <c r="B109" s="4" t="s">
        <v>23</v>
      </c>
      <c r="C109" s="4" t="s">
        <v>4</v>
      </c>
      <c r="D109" s="4" t="s">
        <v>10</v>
      </c>
      <c r="E109" s="4">
        <v>9</v>
      </c>
      <c r="F109" s="4">
        <v>213</v>
      </c>
      <c r="G109" s="4">
        <f>INT(F109*1.4)</f>
        <v>298</v>
      </c>
      <c r="H109" s="10">
        <f>tbl_Sales4[[#This Row],[Qty]]*tbl_Sales4[[#This Row],[Unit price]]</f>
        <v>2682</v>
      </c>
      <c r="I109" s="10">
        <f>(tbl_Sales4[[#This Row],[Unit price]]-tbl_Sales4[[#This Row],[Unit cost]])*tbl_Sales4[[#This Row],[Qty]]</f>
        <v>765</v>
      </c>
    </row>
    <row r="110" spans="1:9" x14ac:dyDescent="0.25">
      <c r="A110" s="3">
        <v>44397</v>
      </c>
      <c r="B110" s="4" t="s">
        <v>27</v>
      </c>
      <c r="C110" s="4" t="s">
        <v>5</v>
      </c>
      <c r="D110" s="4" t="s">
        <v>11</v>
      </c>
      <c r="E110" s="4">
        <v>1</v>
      </c>
      <c r="F110" s="4">
        <v>270</v>
      </c>
      <c r="G110" s="4">
        <f>INT(F110*1.4)</f>
        <v>378</v>
      </c>
      <c r="H110" s="10">
        <f>tbl_Sales4[[#This Row],[Qty]]*tbl_Sales4[[#This Row],[Unit price]]</f>
        <v>378</v>
      </c>
      <c r="I110" s="10">
        <f>(tbl_Sales4[[#This Row],[Unit price]]-tbl_Sales4[[#This Row],[Unit cost]])*tbl_Sales4[[#This Row],[Qty]]</f>
        <v>108</v>
      </c>
    </row>
    <row r="111" spans="1:9" x14ac:dyDescent="0.25">
      <c r="A111" s="3">
        <v>44390</v>
      </c>
      <c r="B111" s="4" t="s">
        <v>22</v>
      </c>
      <c r="C111" s="4" t="s">
        <v>1</v>
      </c>
      <c r="D111" s="4" t="s">
        <v>11</v>
      </c>
      <c r="E111" s="4">
        <v>3</v>
      </c>
      <c r="F111" s="4">
        <v>472</v>
      </c>
      <c r="G111" s="4">
        <f>INT(F111*1.4)</f>
        <v>660</v>
      </c>
      <c r="H111" s="10">
        <f>tbl_Sales4[[#This Row],[Qty]]*tbl_Sales4[[#This Row],[Unit price]]</f>
        <v>1980</v>
      </c>
      <c r="I111" s="10">
        <f>(tbl_Sales4[[#This Row],[Unit price]]-tbl_Sales4[[#This Row],[Unit cost]])*tbl_Sales4[[#This Row],[Qty]]</f>
        <v>564</v>
      </c>
    </row>
    <row r="112" spans="1:9" x14ac:dyDescent="0.25">
      <c r="A112" s="3">
        <v>44390</v>
      </c>
      <c r="B112" s="4" t="s">
        <v>27</v>
      </c>
      <c r="C112" s="4" t="s">
        <v>6</v>
      </c>
      <c r="D112" s="4" t="s">
        <v>9</v>
      </c>
      <c r="E112" s="4">
        <v>5</v>
      </c>
      <c r="F112" s="4">
        <v>224</v>
      </c>
      <c r="G112" s="4">
        <f>INT(F112*1.4)</f>
        <v>313</v>
      </c>
      <c r="H112" s="10">
        <f>tbl_Sales4[[#This Row],[Qty]]*tbl_Sales4[[#This Row],[Unit price]]</f>
        <v>1565</v>
      </c>
      <c r="I112" s="10">
        <f>(tbl_Sales4[[#This Row],[Unit price]]-tbl_Sales4[[#This Row],[Unit cost]])*tbl_Sales4[[#This Row],[Qty]]</f>
        <v>445</v>
      </c>
    </row>
    <row r="113" spans="1:9" x14ac:dyDescent="0.25">
      <c r="A113" s="3">
        <v>44383</v>
      </c>
      <c r="B113" s="4" t="s">
        <v>21</v>
      </c>
      <c r="C113" s="4" t="s">
        <v>1</v>
      </c>
      <c r="D113" s="4" t="s">
        <v>8</v>
      </c>
      <c r="E113" s="4">
        <v>5</v>
      </c>
      <c r="F113" s="4">
        <v>255</v>
      </c>
      <c r="G113" s="4">
        <f>INT(F113*1.4)</f>
        <v>357</v>
      </c>
      <c r="H113" s="10">
        <f>tbl_Sales4[[#This Row],[Qty]]*tbl_Sales4[[#This Row],[Unit price]]</f>
        <v>1785</v>
      </c>
      <c r="I113" s="10">
        <f>(tbl_Sales4[[#This Row],[Unit price]]-tbl_Sales4[[#This Row],[Unit cost]])*tbl_Sales4[[#This Row],[Qty]]</f>
        <v>510</v>
      </c>
    </row>
    <row r="114" spans="1:9" x14ac:dyDescent="0.25">
      <c r="A114" s="3">
        <v>44383</v>
      </c>
      <c r="B114" s="4" t="s">
        <v>26</v>
      </c>
      <c r="C114" s="4" t="s">
        <v>4</v>
      </c>
      <c r="D114" s="4" t="s">
        <v>9</v>
      </c>
      <c r="E114" s="4">
        <v>2</v>
      </c>
      <c r="F114" s="4">
        <v>427</v>
      </c>
      <c r="G114" s="4">
        <f>INT(F114*1.4)</f>
        <v>597</v>
      </c>
      <c r="H114" s="10">
        <f>tbl_Sales4[[#This Row],[Qty]]*tbl_Sales4[[#This Row],[Unit price]]</f>
        <v>1194</v>
      </c>
      <c r="I114" s="10">
        <f>(tbl_Sales4[[#This Row],[Unit price]]-tbl_Sales4[[#This Row],[Unit cost]])*tbl_Sales4[[#This Row],[Qty]]</f>
        <v>340</v>
      </c>
    </row>
    <row r="115" spans="1:9" x14ac:dyDescent="0.25">
      <c r="A115" s="3">
        <v>44376</v>
      </c>
      <c r="B115" s="4" t="s">
        <v>20</v>
      </c>
      <c r="C115" s="4" t="s">
        <v>1</v>
      </c>
      <c r="D115" s="4" t="s">
        <v>11</v>
      </c>
      <c r="E115" s="4">
        <v>11</v>
      </c>
      <c r="F115" s="4">
        <v>278</v>
      </c>
      <c r="G115" s="4">
        <f>INT(F115*1.4)</f>
        <v>389</v>
      </c>
      <c r="H115" s="10">
        <f>tbl_Sales4[[#This Row],[Qty]]*tbl_Sales4[[#This Row],[Unit price]]</f>
        <v>4279</v>
      </c>
      <c r="I115" s="10">
        <f>(tbl_Sales4[[#This Row],[Unit price]]-tbl_Sales4[[#This Row],[Unit cost]])*tbl_Sales4[[#This Row],[Qty]]</f>
        <v>1221</v>
      </c>
    </row>
    <row r="116" spans="1:9" x14ac:dyDescent="0.25">
      <c r="A116" s="3">
        <v>44376</v>
      </c>
      <c r="B116" s="4" t="s">
        <v>26</v>
      </c>
      <c r="C116" s="4" t="s">
        <v>5</v>
      </c>
      <c r="D116" s="4" t="s">
        <v>11</v>
      </c>
      <c r="E116" s="4">
        <v>5</v>
      </c>
      <c r="F116" s="4">
        <v>265</v>
      </c>
      <c r="G116" s="4">
        <f>INT(F116*1.4)</f>
        <v>371</v>
      </c>
      <c r="H116" s="10">
        <f>tbl_Sales4[[#This Row],[Qty]]*tbl_Sales4[[#This Row],[Unit price]]</f>
        <v>1855</v>
      </c>
      <c r="I116" s="10">
        <f>(tbl_Sales4[[#This Row],[Unit price]]-tbl_Sales4[[#This Row],[Unit cost]])*tbl_Sales4[[#This Row],[Qty]]</f>
        <v>530</v>
      </c>
    </row>
    <row r="117" spans="1:9" x14ac:dyDescent="0.25">
      <c r="A117" s="3">
        <v>44369</v>
      </c>
      <c r="B117" s="4" t="s">
        <v>19</v>
      </c>
      <c r="C117" s="4" t="s">
        <v>6</v>
      </c>
      <c r="D117" s="4" t="s">
        <v>9</v>
      </c>
      <c r="E117" s="4">
        <v>12</v>
      </c>
      <c r="F117" s="4">
        <v>206</v>
      </c>
      <c r="G117" s="4">
        <f>INT(F117*1.4)</f>
        <v>288</v>
      </c>
      <c r="H117" s="10">
        <f>tbl_Sales4[[#This Row],[Qty]]*tbl_Sales4[[#This Row],[Unit price]]</f>
        <v>3456</v>
      </c>
      <c r="I117" s="10">
        <f>(tbl_Sales4[[#This Row],[Unit price]]-tbl_Sales4[[#This Row],[Unit cost]])*tbl_Sales4[[#This Row],[Qty]]</f>
        <v>984</v>
      </c>
    </row>
    <row r="118" spans="1:9" x14ac:dyDescent="0.25">
      <c r="A118" s="3">
        <v>44369</v>
      </c>
      <c r="B118" s="4" t="s">
        <v>25</v>
      </c>
      <c r="C118" s="4" t="s">
        <v>6</v>
      </c>
      <c r="D118" s="4" t="s">
        <v>7</v>
      </c>
      <c r="E118" s="4">
        <v>14</v>
      </c>
      <c r="F118" s="4">
        <v>407</v>
      </c>
      <c r="G118" s="4">
        <f>INT(F118*1.4)</f>
        <v>569</v>
      </c>
      <c r="H118" s="10">
        <f>tbl_Sales4[[#This Row],[Qty]]*tbl_Sales4[[#This Row],[Unit price]]</f>
        <v>7966</v>
      </c>
      <c r="I118" s="10">
        <f>(tbl_Sales4[[#This Row],[Unit price]]-tbl_Sales4[[#This Row],[Unit cost]])*tbl_Sales4[[#This Row],[Qty]]</f>
        <v>2268</v>
      </c>
    </row>
    <row r="119" spans="1:9" x14ac:dyDescent="0.25">
      <c r="A119" s="3">
        <v>44362</v>
      </c>
      <c r="B119" s="4" t="s">
        <v>18</v>
      </c>
      <c r="C119" s="4" t="s">
        <v>4</v>
      </c>
      <c r="D119" s="4" t="s">
        <v>9</v>
      </c>
      <c r="E119" s="4">
        <v>5</v>
      </c>
      <c r="F119" s="4">
        <v>474</v>
      </c>
      <c r="G119" s="4">
        <f>INT(F119*1.4)</f>
        <v>663</v>
      </c>
      <c r="H119" s="10">
        <f>tbl_Sales4[[#This Row],[Qty]]*tbl_Sales4[[#This Row],[Unit price]]</f>
        <v>3315</v>
      </c>
      <c r="I119" s="10">
        <f>(tbl_Sales4[[#This Row],[Unit price]]-tbl_Sales4[[#This Row],[Unit cost]])*tbl_Sales4[[#This Row],[Qty]]</f>
        <v>945</v>
      </c>
    </row>
    <row r="120" spans="1:9" x14ac:dyDescent="0.25">
      <c r="A120" s="3">
        <v>44362</v>
      </c>
      <c r="B120" s="4" t="s">
        <v>25</v>
      </c>
      <c r="C120" s="4" t="s">
        <v>1</v>
      </c>
      <c r="D120" s="4" t="s">
        <v>11</v>
      </c>
      <c r="E120" s="4">
        <v>22</v>
      </c>
      <c r="F120" s="4">
        <v>434</v>
      </c>
      <c r="G120" s="4">
        <f>INT(F120*1.4)</f>
        <v>607</v>
      </c>
      <c r="H120" s="10">
        <f>tbl_Sales4[[#This Row],[Qty]]*tbl_Sales4[[#This Row],[Unit price]]</f>
        <v>13354</v>
      </c>
      <c r="I120" s="10">
        <f>(tbl_Sales4[[#This Row],[Unit price]]-tbl_Sales4[[#This Row],[Unit cost]])*tbl_Sales4[[#This Row],[Qty]]</f>
        <v>3806</v>
      </c>
    </row>
    <row r="121" spans="1:9" x14ac:dyDescent="0.25">
      <c r="A121" s="3">
        <v>44355</v>
      </c>
      <c r="B121" s="4" t="s">
        <v>17</v>
      </c>
      <c r="C121" s="4" t="s">
        <v>5</v>
      </c>
      <c r="D121" s="4" t="s">
        <v>11</v>
      </c>
      <c r="E121" s="4">
        <v>13</v>
      </c>
      <c r="F121" s="4">
        <v>228</v>
      </c>
      <c r="G121" s="4">
        <f>INT(F121*1.4)</f>
        <v>319</v>
      </c>
      <c r="H121" s="10">
        <f>tbl_Sales4[[#This Row],[Qty]]*tbl_Sales4[[#This Row],[Unit price]]</f>
        <v>4147</v>
      </c>
      <c r="I121" s="10">
        <f>(tbl_Sales4[[#This Row],[Unit price]]-tbl_Sales4[[#This Row],[Unit cost]])*tbl_Sales4[[#This Row],[Qty]]</f>
        <v>1183</v>
      </c>
    </row>
    <row r="122" spans="1:9" x14ac:dyDescent="0.25">
      <c r="A122" s="3">
        <v>44355</v>
      </c>
      <c r="B122" s="4" t="s">
        <v>28</v>
      </c>
      <c r="C122" s="4" t="s">
        <v>1</v>
      </c>
      <c r="D122" s="4" t="s">
        <v>8</v>
      </c>
      <c r="E122" s="4">
        <v>20</v>
      </c>
      <c r="F122" s="4">
        <v>362</v>
      </c>
      <c r="G122" s="4">
        <f>INT(F122*1.4)</f>
        <v>506</v>
      </c>
      <c r="H122" s="10">
        <f>tbl_Sales4[[#This Row],[Qty]]*tbl_Sales4[[#This Row],[Unit price]]</f>
        <v>10120</v>
      </c>
      <c r="I122" s="10">
        <f>(tbl_Sales4[[#This Row],[Unit price]]-tbl_Sales4[[#This Row],[Unit cost]])*tbl_Sales4[[#This Row],[Qty]]</f>
        <v>2880</v>
      </c>
    </row>
    <row r="123" spans="1:9" x14ac:dyDescent="0.25">
      <c r="A123" s="3">
        <v>44348</v>
      </c>
      <c r="B123" s="4" t="s">
        <v>16</v>
      </c>
      <c r="C123" s="4" t="s">
        <v>6</v>
      </c>
      <c r="D123" s="4" t="s">
        <v>7</v>
      </c>
      <c r="E123" s="4">
        <v>10</v>
      </c>
      <c r="F123" s="4">
        <v>360</v>
      </c>
      <c r="G123" s="4">
        <f>INT(F123*1.4)</f>
        <v>504</v>
      </c>
      <c r="H123" s="10">
        <f>tbl_Sales4[[#This Row],[Qty]]*tbl_Sales4[[#This Row],[Unit price]]</f>
        <v>5040</v>
      </c>
      <c r="I123" s="10">
        <f>(tbl_Sales4[[#This Row],[Unit price]]-tbl_Sales4[[#This Row],[Unit cost]])*tbl_Sales4[[#This Row],[Qty]]</f>
        <v>1440</v>
      </c>
    </row>
    <row r="124" spans="1:9" x14ac:dyDescent="0.25">
      <c r="A124" s="3">
        <v>44348</v>
      </c>
      <c r="B124" s="4" t="s">
        <v>24</v>
      </c>
      <c r="C124" s="4" t="s">
        <v>1</v>
      </c>
      <c r="D124" s="4" t="s">
        <v>11</v>
      </c>
      <c r="E124" s="4">
        <v>21</v>
      </c>
      <c r="F124" s="4">
        <v>478</v>
      </c>
      <c r="G124" s="4">
        <f>INT(F124*1.4)</f>
        <v>669</v>
      </c>
      <c r="H124" s="10">
        <f>tbl_Sales4[[#This Row],[Qty]]*tbl_Sales4[[#This Row],[Unit price]]</f>
        <v>14049</v>
      </c>
      <c r="I124" s="10">
        <f>(tbl_Sales4[[#This Row],[Unit price]]-tbl_Sales4[[#This Row],[Unit cost]])*tbl_Sales4[[#This Row],[Qty]]</f>
        <v>4011</v>
      </c>
    </row>
    <row r="125" spans="1:9" x14ac:dyDescent="0.25">
      <c r="A125" s="3">
        <v>44341</v>
      </c>
      <c r="B125" s="4" t="s">
        <v>17</v>
      </c>
      <c r="C125" s="4" t="s">
        <v>5</v>
      </c>
      <c r="D125" s="4" t="s">
        <v>11</v>
      </c>
      <c r="E125" s="4">
        <v>8</v>
      </c>
      <c r="F125" s="4">
        <v>300</v>
      </c>
      <c r="G125" s="4">
        <f>INT(F125*1.4)</f>
        <v>420</v>
      </c>
      <c r="H125" s="10">
        <f>tbl_Sales4[[#This Row],[Qty]]*tbl_Sales4[[#This Row],[Unit price]]</f>
        <v>3360</v>
      </c>
      <c r="I125" s="10">
        <f>(tbl_Sales4[[#This Row],[Unit price]]-tbl_Sales4[[#This Row],[Unit cost]])*tbl_Sales4[[#This Row],[Qty]]</f>
        <v>960</v>
      </c>
    </row>
    <row r="126" spans="1:9" x14ac:dyDescent="0.25">
      <c r="A126" s="3">
        <v>44341</v>
      </c>
      <c r="B126" s="4" t="s">
        <v>23</v>
      </c>
      <c r="C126" s="4" t="s">
        <v>4</v>
      </c>
      <c r="D126" s="4" t="s">
        <v>8</v>
      </c>
      <c r="E126" s="4">
        <v>24</v>
      </c>
      <c r="F126" s="4">
        <v>213</v>
      </c>
      <c r="G126" s="4">
        <f>INT(F126*1.4)</f>
        <v>298</v>
      </c>
      <c r="H126" s="10">
        <f>tbl_Sales4[[#This Row],[Qty]]*tbl_Sales4[[#This Row],[Unit price]]</f>
        <v>7152</v>
      </c>
      <c r="I126" s="10">
        <f>(tbl_Sales4[[#This Row],[Unit price]]-tbl_Sales4[[#This Row],[Unit cost]])*tbl_Sales4[[#This Row],[Qty]]</f>
        <v>2040</v>
      </c>
    </row>
    <row r="127" spans="1:9" x14ac:dyDescent="0.25">
      <c r="A127" s="3">
        <v>44334</v>
      </c>
      <c r="B127" s="4" t="s">
        <v>30</v>
      </c>
      <c r="C127" s="4" t="s">
        <v>6</v>
      </c>
      <c r="D127" s="4" t="s">
        <v>9</v>
      </c>
      <c r="E127" s="4">
        <v>14</v>
      </c>
      <c r="F127" s="4">
        <v>382</v>
      </c>
      <c r="G127" s="4">
        <f>INT(F127*1.4)</f>
        <v>534</v>
      </c>
      <c r="H127" s="10">
        <f>tbl_Sales4[[#This Row],[Qty]]*tbl_Sales4[[#This Row],[Unit price]]</f>
        <v>7476</v>
      </c>
      <c r="I127" s="10">
        <f>(tbl_Sales4[[#This Row],[Unit price]]-tbl_Sales4[[#This Row],[Unit cost]])*tbl_Sales4[[#This Row],[Qty]]</f>
        <v>2128</v>
      </c>
    </row>
    <row r="128" spans="1:9" x14ac:dyDescent="0.25">
      <c r="A128" s="3">
        <v>44334</v>
      </c>
      <c r="B128" s="4" t="s">
        <v>22</v>
      </c>
      <c r="C128" s="4" t="s">
        <v>4</v>
      </c>
      <c r="D128" s="4" t="s">
        <v>10</v>
      </c>
      <c r="E128" s="4">
        <v>23</v>
      </c>
      <c r="F128" s="4">
        <v>472</v>
      </c>
      <c r="G128" s="4">
        <f>INT(F128*1.4)</f>
        <v>660</v>
      </c>
      <c r="H128" s="10">
        <f>tbl_Sales4[[#This Row],[Qty]]*tbl_Sales4[[#This Row],[Unit price]]</f>
        <v>15180</v>
      </c>
      <c r="I128" s="10">
        <f>(tbl_Sales4[[#This Row],[Unit price]]-tbl_Sales4[[#This Row],[Unit cost]])*tbl_Sales4[[#This Row],[Qty]]</f>
        <v>4324</v>
      </c>
    </row>
    <row r="129" spans="1:9" x14ac:dyDescent="0.25">
      <c r="A129" s="3">
        <v>44327</v>
      </c>
      <c r="B129" s="4" t="s">
        <v>29</v>
      </c>
      <c r="C129" s="4" t="s">
        <v>4</v>
      </c>
      <c r="D129" s="4" t="s">
        <v>9</v>
      </c>
      <c r="E129" s="4">
        <v>9</v>
      </c>
      <c r="F129" s="4">
        <v>105</v>
      </c>
      <c r="G129" s="4">
        <f>INT(F129*1.4)</f>
        <v>147</v>
      </c>
      <c r="H129" s="10">
        <f>tbl_Sales4[[#This Row],[Qty]]*tbl_Sales4[[#This Row],[Unit price]]</f>
        <v>1323</v>
      </c>
      <c r="I129" s="10">
        <f>(tbl_Sales4[[#This Row],[Unit price]]-tbl_Sales4[[#This Row],[Unit cost]])*tbl_Sales4[[#This Row],[Qty]]</f>
        <v>378</v>
      </c>
    </row>
    <row r="130" spans="1:9" x14ac:dyDescent="0.25">
      <c r="A130" s="3">
        <v>44327</v>
      </c>
      <c r="B130" s="4" t="s">
        <v>21</v>
      </c>
      <c r="C130" s="4" t="s">
        <v>1</v>
      </c>
      <c r="D130" s="4" t="s">
        <v>11</v>
      </c>
      <c r="E130" s="4">
        <v>5</v>
      </c>
      <c r="F130" s="4">
        <v>255</v>
      </c>
      <c r="G130" s="4">
        <f>INT(F130*1.4)</f>
        <v>357</v>
      </c>
      <c r="H130" s="10">
        <f>tbl_Sales4[[#This Row],[Qty]]*tbl_Sales4[[#This Row],[Unit price]]</f>
        <v>1785</v>
      </c>
      <c r="I130" s="10">
        <f>(tbl_Sales4[[#This Row],[Unit price]]-tbl_Sales4[[#This Row],[Unit cost]])*tbl_Sales4[[#This Row],[Qty]]</f>
        <v>510</v>
      </c>
    </row>
    <row r="131" spans="1:9" x14ac:dyDescent="0.25">
      <c r="A131" s="3">
        <v>44320</v>
      </c>
      <c r="B131" s="4" t="s">
        <v>29</v>
      </c>
      <c r="C131" s="4" t="s">
        <v>5</v>
      </c>
      <c r="D131" s="4" t="s">
        <v>11</v>
      </c>
      <c r="E131" s="4">
        <v>7</v>
      </c>
      <c r="F131" s="4">
        <v>385</v>
      </c>
      <c r="G131" s="4">
        <f>INT(F131*1.4)</f>
        <v>539</v>
      </c>
      <c r="H131" s="10">
        <f>tbl_Sales4[[#This Row],[Qty]]*tbl_Sales4[[#This Row],[Unit price]]</f>
        <v>3773</v>
      </c>
      <c r="I131" s="10">
        <f>(tbl_Sales4[[#This Row],[Unit price]]-tbl_Sales4[[#This Row],[Unit cost]])*tbl_Sales4[[#This Row],[Qty]]</f>
        <v>1078</v>
      </c>
    </row>
    <row r="132" spans="1:9" x14ac:dyDescent="0.25">
      <c r="A132" s="3">
        <v>44320</v>
      </c>
      <c r="B132" s="4" t="s">
        <v>20</v>
      </c>
      <c r="C132" s="4" t="s">
        <v>1</v>
      </c>
      <c r="D132" s="4" t="s">
        <v>8</v>
      </c>
      <c r="E132" s="4">
        <v>6</v>
      </c>
      <c r="F132" s="4">
        <v>278</v>
      </c>
      <c r="G132" s="4">
        <f>INT(F132*1.4)</f>
        <v>389</v>
      </c>
      <c r="H132" s="10">
        <f>tbl_Sales4[[#This Row],[Qty]]*tbl_Sales4[[#This Row],[Unit price]]</f>
        <v>2334</v>
      </c>
      <c r="I132" s="10">
        <f>(tbl_Sales4[[#This Row],[Unit price]]-tbl_Sales4[[#This Row],[Unit cost]])*tbl_Sales4[[#This Row],[Qty]]</f>
        <v>666</v>
      </c>
    </row>
    <row r="133" spans="1:9" x14ac:dyDescent="0.25">
      <c r="A133" s="3">
        <v>44313</v>
      </c>
      <c r="B133" s="4" t="s">
        <v>27</v>
      </c>
      <c r="C133" s="4" t="s">
        <v>6</v>
      </c>
      <c r="D133" s="4" t="s">
        <v>7</v>
      </c>
      <c r="E133" s="4">
        <v>5</v>
      </c>
      <c r="F133" s="4">
        <v>270</v>
      </c>
      <c r="G133" s="4">
        <f>INT(F133*1.4)</f>
        <v>378</v>
      </c>
      <c r="H133" s="10">
        <f>tbl_Sales4[[#This Row],[Qty]]*tbl_Sales4[[#This Row],[Unit price]]</f>
        <v>1890</v>
      </c>
      <c r="I133" s="10">
        <f>(tbl_Sales4[[#This Row],[Unit price]]-tbl_Sales4[[#This Row],[Unit cost]])*tbl_Sales4[[#This Row],[Qty]]</f>
        <v>540</v>
      </c>
    </row>
    <row r="134" spans="1:9" x14ac:dyDescent="0.25">
      <c r="A134" s="3">
        <v>44313</v>
      </c>
      <c r="B134" s="4" t="s">
        <v>19</v>
      </c>
      <c r="C134" s="4" t="s">
        <v>1</v>
      </c>
      <c r="D134" s="4" t="s">
        <v>11</v>
      </c>
      <c r="E134" s="4">
        <v>8</v>
      </c>
      <c r="F134" s="4">
        <v>206</v>
      </c>
      <c r="G134" s="4">
        <f>INT(F134*1.4)</f>
        <v>288</v>
      </c>
      <c r="H134" s="10">
        <f>tbl_Sales4[[#This Row],[Qty]]*tbl_Sales4[[#This Row],[Unit price]]</f>
        <v>2304</v>
      </c>
      <c r="I134" s="10">
        <f>(tbl_Sales4[[#This Row],[Unit price]]-tbl_Sales4[[#This Row],[Unit cost]])*tbl_Sales4[[#This Row],[Qty]]</f>
        <v>656</v>
      </c>
    </row>
    <row r="135" spans="1:9" x14ac:dyDescent="0.25">
      <c r="A135" s="3">
        <v>44306</v>
      </c>
      <c r="B135" s="4" t="s">
        <v>27</v>
      </c>
      <c r="C135" s="4" t="s">
        <v>5</v>
      </c>
      <c r="D135" s="4" t="s">
        <v>10</v>
      </c>
      <c r="E135" s="4">
        <v>12</v>
      </c>
      <c r="F135" s="4">
        <v>224</v>
      </c>
      <c r="G135" s="4">
        <f>INT(F135*1.4)</f>
        <v>313</v>
      </c>
      <c r="H135" s="10">
        <f>tbl_Sales4[[#This Row],[Qty]]*tbl_Sales4[[#This Row],[Unit price]]</f>
        <v>3756</v>
      </c>
      <c r="I135" s="10">
        <f>(tbl_Sales4[[#This Row],[Unit price]]-tbl_Sales4[[#This Row],[Unit cost]])*tbl_Sales4[[#This Row],[Qty]]</f>
        <v>1068</v>
      </c>
    </row>
    <row r="136" spans="1:9" x14ac:dyDescent="0.25">
      <c r="A136" s="3">
        <v>44306</v>
      </c>
      <c r="B136" s="4" t="s">
        <v>18</v>
      </c>
      <c r="C136" s="4" t="s">
        <v>4</v>
      </c>
      <c r="D136" s="4" t="s">
        <v>11</v>
      </c>
      <c r="E136" s="4">
        <v>5</v>
      </c>
      <c r="F136" s="4">
        <v>474</v>
      </c>
      <c r="G136" s="4">
        <f>INT(F136*1.4)</f>
        <v>663</v>
      </c>
      <c r="H136" s="10">
        <f>tbl_Sales4[[#This Row],[Qty]]*tbl_Sales4[[#This Row],[Unit price]]</f>
        <v>3315</v>
      </c>
      <c r="I136" s="10">
        <f>(tbl_Sales4[[#This Row],[Unit price]]-tbl_Sales4[[#This Row],[Unit cost]])*tbl_Sales4[[#This Row],[Qty]]</f>
        <v>945</v>
      </c>
    </row>
    <row r="137" spans="1:9" x14ac:dyDescent="0.25">
      <c r="A137" s="3">
        <v>44299</v>
      </c>
      <c r="B137" s="4" t="s">
        <v>26</v>
      </c>
      <c r="C137" s="4" t="s">
        <v>5</v>
      </c>
      <c r="D137" s="4" t="s">
        <v>8</v>
      </c>
      <c r="E137" s="4">
        <v>5</v>
      </c>
      <c r="F137" s="4">
        <v>427</v>
      </c>
      <c r="G137" s="4">
        <f>INT(F137*1.4)</f>
        <v>597</v>
      </c>
      <c r="H137" s="10">
        <f>tbl_Sales4[[#This Row],[Qty]]*tbl_Sales4[[#This Row],[Unit price]]</f>
        <v>2985</v>
      </c>
      <c r="I137" s="10">
        <f>(tbl_Sales4[[#This Row],[Unit price]]-tbl_Sales4[[#This Row],[Unit cost]])*tbl_Sales4[[#This Row],[Qty]]</f>
        <v>850</v>
      </c>
    </row>
    <row r="138" spans="1:9" x14ac:dyDescent="0.25">
      <c r="A138" s="3">
        <v>44299</v>
      </c>
      <c r="B138" s="4" t="s">
        <v>17</v>
      </c>
      <c r="C138" s="4" t="s">
        <v>5</v>
      </c>
      <c r="D138" s="4" t="s">
        <v>10</v>
      </c>
      <c r="E138" s="4">
        <v>13</v>
      </c>
      <c r="F138" s="4">
        <v>228</v>
      </c>
      <c r="G138" s="4">
        <f>INT(F138*1.4)</f>
        <v>319</v>
      </c>
      <c r="H138" s="10">
        <f>tbl_Sales4[[#This Row],[Qty]]*tbl_Sales4[[#This Row],[Unit price]]</f>
        <v>4147</v>
      </c>
      <c r="I138" s="10">
        <f>(tbl_Sales4[[#This Row],[Unit price]]-tbl_Sales4[[#This Row],[Unit cost]])*tbl_Sales4[[#This Row],[Qty]]</f>
        <v>1183</v>
      </c>
    </row>
    <row r="139" spans="1:9" x14ac:dyDescent="0.25">
      <c r="A139" s="3">
        <v>44292</v>
      </c>
      <c r="B139" s="4" t="s">
        <v>26</v>
      </c>
      <c r="C139" s="4" t="s">
        <v>5</v>
      </c>
      <c r="D139" s="4" t="s">
        <v>11</v>
      </c>
      <c r="E139" s="4">
        <v>14</v>
      </c>
      <c r="F139" s="4">
        <v>265</v>
      </c>
      <c r="G139" s="4">
        <f>INT(F139*1.4)</f>
        <v>371</v>
      </c>
      <c r="H139" s="10">
        <f>tbl_Sales4[[#This Row],[Qty]]*tbl_Sales4[[#This Row],[Unit price]]</f>
        <v>5194</v>
      </c>
      <c r="I139" s="10">
        <f>(tbl_Sales4[[#This Row],[Unit price]]-tbl_Sales4[[#This Row],[Unit cost]])*tbl_Sales4[[#This Row],[Qty]]</f>
        <v>1484</v>
      </c>
    </row>
    <row r="140" spans="1:9" x14ac:dyDescent="0.25">
      <c r="A140" s="3">
        <v>44292</v>
      </c>
      <c r="B140" s="4" t="s">
        <v>16</v>
      </c>
      <c r="C140" s="4" t="s">
        <v>6</v>
      </c>
      <c r="D140" s="4" t="s">
        <v>8</v>
      </c>
      <c r="E140" s="4">
        <v>10</v>
      </c>
      <c r="F140" s="4">
        <v>360</v>
      </c>
      <c r="G140" s="4">
        <f>INT(F140*1.4)</f>
        <v>504</v>
      </c>
      <c r="H140" s="10">
        <f>tbl_Sales4[[#This Row],[Qty]]*tbl_Sales4[[#This Row],[Unit price]]</f>
        <v>5040</v>
      </c>
      <c r="I140" s="10">
        <f>(tbl_Sales4[[#This Row],[Unit price]]-tbl_Sales4[[#This Row],[Unit cost]])*tbl_Sales4[[#This Row],[Qty]]</f>
        <v>1440</v>
      </c>
    </row>
    <row r="141" spans="1:9" x14ac:dyDescent="0.25">
      <c r="A141" s="3">
        <v>44285</v>
      </c>
      <c r="B141" s="4" t="s">
        <v>25</v>
      </c>
      <c r="C141" s="4" t="s">
        <v>1</v>
      </c>
      <c r="D141" s="4" t="s">
        <v>8</v>
      </c>
      <c r="E141" s="4">
        <v>4</v>
      </c>
      <c r="F141" s="4">
        <v>407</v>
      </c>
      <c r="G141" s="4">
        <f>INT(F141*1.4)</f>
        <v>569</v>
      </c>
      <c r="H141" s="10">
        <f>tbl_Sales4[[#This Row],[Qty]]*tbl_Sales4[[#This Row],[Unit price]]</f>
        <v>2276</v>
      </c>
      <c r="I141" s="10">
        <f>(tbl_Sales4[[#This Row],[Unit price]]-tbl_Sales4[[#This Row],[Unit cost]])*tbl_Sales4[[#This Row],[Qty]]</f>
        <v>648</v>
      </c>
    </row>
    <row r="142" spans="1:9" x14ac:dyDescent="0.25">
      <c r="A142" s="3">
        <v>44285</v>
      </c>
      <c r="B142" s="4" t="s">
        <v>25</v>
      </c>
      <c r="C142" s="4" t="s">
        <v>6</v>
      </c>
      <c r="D142" s="4" t="s">
        <v>11</v>
      </c>
      <c r="E142" s="4">
        <v>8</v>
      </c>
      <c r="F142" s="4">
        <v>407</v>
      </c>
      <c r="G142" s="4">
        <f>INT(F142*1.4)</f>
        <v>569</v>
      </c>
      <c r="H142" s="10">
        <f>tbl_Sales4[[#This Row],[Qty]]*tbl_Sales4[[#This Row],[Unit price]]</f>
        <v>4552</v>
      </c>
      <c r="I142" s="10">
        <f>(tbl_Sales4[[#This Row],[Unit price]]-tbl_Sales4[[#This Row],[Unit cost]])*tbl_Sales4[[#This Row],[Qty]]</f>
        <v>1296</v>
      </c>
    </row>
    <row r="143" spans="1:9" x14ac:dyDescent="0.25">
      <c r="A143" s="3">
        <v>44278</v>
      </c>
      <c r="B143" s="4" t="s">
        <v>25</v>
      </c>
      <c r="C143" s="4" t="s">
        <v>1</v>
      </c>
      <c r="D143" s="4" t="s">
        <v>9</v>
      </c>
      <c r="E143" s="4">
        <v>13</v>
      </c>
      <c r="F143" s="4">
        <v>434</v>
      </c>
      <c r="G143" s="4">
        <f>INT(F143*1.4)</f>
        <v>607</v>
      </c>
      <c r="H143" s="10">
        <f>tbl_Sales4[[#This Row],[Qty]]*tbl_Sales4[[#This Row],[Unit price]]</f>
        <v>7891</v>
      </c>
      <c r="I143" s="10">
        <f>(tbl_Sales4[[#This Row],[Unit price]]-tbl_Sales4[[#This Row],[Unit cost]])*tbl_Sales4[[#This Row],[Qty]]</f>
        <v>2249</v>
      </c>
    </row>
    <row r="144" spans="1:9" x14ac:dyDescent="0.25">
      <c r="A144" s="3">
        <v>44278</v>
      </c>
      <c r="B144" s="4" t="s">
        <v>25</v>
      </c>
      <c r="C144" s="4" t="s">
        <v>4</v>
      </c>
      <c r="D144" s="4" t="s">
        <v>10</v>
      </c>
      <c r="E144" s="4">
        <v>14</v>
      </c>
      <c r="F144" s="4">
        <v>434</v>
      </c>
      <c r="G144" s="4">
        <f>INT(F144*1.4)</f>
        <v>607</v>
      </c>
      <c r="H144" s="10">
        <f>tbl_Sales4[[#This Row],[Qty]]*tbl_Sales4[[#This Row],[Unit price]]</f>
        <v>8498</v>
      </c>
      <c r="I144" s="10">
        <f>(tbl_Sales4[[#This Row],[Unit price]]-tbl_Sales4[[#This Row],[Unit cost]])*tbl_Sales4[[#This Row],[Qty]]</f>
        <v>2422</v>
      </c>
    </row>
    <row r="145" spans="1:9" x14ac:dyDescent="0.25">
      <c r="A145" s="3">
        <v>44271</v>
      </c>
      <c r="B145" s="4" t="s">
        <v>28</v>
      </c>
      <c r="C145" s="4" t="s">
        <v>6</v>
      </c>
      <c r="D145" s="4" t="s">
        <v>8</v>
      </c>
      <c r="E145" s="4">
        <v>14</v>
      </c>
      <c r="F145" s="4">
        <v>362</v>
      </c>
      <c r="G145" s="4">
        <f>INT(F145*1.4)</f>
        <v>506</v>
      </c>
      <c r="H145" s="10">
        <f>tbl_Sales4[[#This Row],[Qty]]*tbl_Sales4[[#This Row],[Unit price]]</f>
        <v>7084</v>
      </c>
      <c r="I145" s="10">
        <f>(tbl_Sales4[[#This Row],[Unit price]]-tbl_Sales4[[#This Row],[Unit cost]])*tbl_Sales4[[#This Row],[Qty]]</f>
        <v>2016</v>
      </c>
    </row>
    <row r="146" spans="1:9" x14ac:dyDescent="0.25">
      <c r="A146" s="3">
        <v>44271</v>
      </c>
      <c r="B146" s="4" t="s">
        <v>28</v>
      </c>
      <c r="C146" s="4" t="s">
        <v>4</v>
      </c>
      <c r="D146" s="4" t="s">
        <v>8</v>
      </c>
      <c r="E146" s="4">
        <v>19</v>
      </c>
      <c r="F146" s="4">
        <v>362</v>
      </c>
      <c r="G146" s="4">
        <f>INT(F146*1.4)</f>
        <v>506</v>
      </c>
      <c r="H146" s="10">
        <f>tbl_Sales4[[#This Row],[Qty]]*tbl_Sales4[[#This Row],[Unit price]]</f>
        <v>9614</v>
      </c>
      <c r="I146" s="10">
        <f>(tbl_Sales4[[#This Row],[Unit price]]-tbl_Sales4[[#This Row],[Unit cost]])*tbl_Sales4[[#This Row],[Qty]]</f>
        <v>2736</v>
      </c>
    </row>
    <row r="147" spans="1:9" x14ac:dyDescent="0.25">
      <c r="A147" s="3">
        <v>44264</v>
      </c>
      <c r="B147" s="4" t="s">
        <v>24</v>
      </c>
      <c r="C147" s="4" t="s">
        <v>1</v>
      </c>
      <c r="D147" s="4" t="s">
        <v>7</v>
      </c>
      <c r="E147" s="4">
        <v>24</v>
      </c>
      <c r="F147" s="4">
        <v>478</v>
      </c>
      <c r="G147" s="4">
        <f>INT(F147*1.4)</f>
        <v>669</v>
      </c>
      <c r="H147" s="10">
        <f>tbl_Sales4[[#This Row],[Qty]]*tbl_Sales4[[#This Row],[Unit price]]</f>
        <v>16056</v>
      </c>
      <c r="I147" s="10">
        <f>(tbl_Sales4[[#This Row],[Unit price]]-tbl_Sales4[[#This Row],[Unit cost]])*tbl_Sales4[[#This Row],[Qty]]</f>
        <v>4584</v>
      </c>
    </row>
    <row r="148" spans="1:9" x14ac:dyDescent="0.25">
      <c r="A148" s="3">
        <v>44264</v>
      </c>
      <c r="B148" s="4" t="s">
        <v>24</v>
      </c>
      <c r="C148" s="4" t="s">
        <v>5</v>
      </c>
      <c r="D148" s="4" t="s">
        <v>7</v>
      </c>
      <c r="E148" s="4">
        <v>10</v>
      </c>
      <c r="F148" s="4">
        <v>478</v>
      </c>
      <c r="G148" s="4">
        <f>INT(F148*1.4)</f>
        <v>669</v>
      </c>
      <c r="H148" s="10">
        <f>tbl_Sales4[[#This Row],[Qty]]*tbl_Sales4[[#This Row],[Unit price]]</f>
        <v>6690</v>
      </c>
      <c r="I148" s="10">
        <f>(tbl_Sales4[[#This Row],[Unit price]]-tbl_Sales4[[#This Row],[Unit cost]])*tbl_Sales4[[#This Row],[Qty]]</f>
        <v>1910</v>
      </c>
    </row>
    <row r="149" spans="1:9" x14ac:dyDescent="0.25">
      <c r="A149" s="3">
        <v>44257</v>
      </c>
      <c r="B149" s="4" t="s">
        <v>23</v>
      </c>
      <c r="C149" s="4" t="s">
        <v>4</v>
      </c>
      <c r="D149" s="4" t="s">
        <v>11</v>
      </c>
      <c r="E149" s="4">
        <v>10</v>
      </c>
      <c r="F149" s="4">
        <v>213</v>
      </c>
      <c r="G149" s="4">
        <f>INT(F149*1.4)</f>
        <v>298</v>
      </c>
      <c r="H149" s="10">
        <f>tbl_Sales4[[#This Row],[Qty]]*tbl_Sales4[[#This Row],[Unit price]]</f>
        <v>2980</v>
      </c>
      <c r="I149" s="10">
        <f>(tbl_Sales4[[#This Row],[Unit price]]-tbl_Sales4[[#This Row],[Unit cost]])*tbl_Sales4[[#This Row],[Qty]]</f>
        <v>850</v>
      </c>
    </row>
    <row r="150" spans="1:9" x14ac:dyDescent="0.25">
      <c r="A150" s="3">
        <v>44257</v>
      </c>
      <c r="B150" s="4" t="s">
        <v>23</v>
      </c>
      <c r="C150" s="4" t="s">
        <v>4</v>
      </c>
      <c r="D150" s="4" t="s">
        <v>9</v>
      </c>
      <c r="E150" s="4">
        <v>5</v>
      </c>
      <c r="F150" s="4">
        <v>213</v>
      </c>
      <c r="G150" s="4">
        <f>INT(F150*1.4)</f>
        <v>298</v>
      </c>
      <c r="H150" s="10">
        <f>tbl_Sales4[[#This Row],[Qty]]*tbl_Sales4[[#This Row],[Unit price]]</f>
        <v>1490</v>
      </c>
      <c r="I150" s="10">
        <f>(tbl_Sales4[[#This Row],[Unit price]]-tbl_Sales4[[#This Row],[Unit cost]])*tbl_Sales4[[#This Row],[Qty]]</f>
        <v>425</v>
      </c>
    </row>
    <row r="151" spans="1:9" x14ac:dyDescent="0.25">
      <c r="A151" s="3">
        <v>44250</v>
      </c>
      <c r="B151" s="4" t="s">
        <v>22</v>
      </c>
      <c r="C151" s="4" t="s">
        <v>4</v>
      </c>
      <c r="D151" s="4" t="s">
        <v>10</v>
      </c>
      <c r="E151" s="4">
        <v>12</v>
      </c>
      <c r="F151" s="4">
        <v>472</v>
      </c>
      <c r="G151" s="4">
        <f>INT(F151*1.4)</f>
        <v>660</v>
      </c>
      <c r="H151" s="10">
        <f>tbl_Sales4[[#This Row],[Qty]]*tbl_Sales4[[#This Row],[Unit price]]</f>
        <v>7920</v>
      </c>
      <c r="I151" s="10">
        <f>(tbl_Sales4[[#This Row],[Unit price]]-tbl_Sales4[[#This Row],[Unit cost]])*tbl_Sales4[[#This Row],[Qty]]</f>
        <v>2256</v>
      </c>
    </row>
    <row r="152" spans="1:9" x14ac:dyDescent="0.25">
      <c r="A152" s="3">
        <v>44250</v>
      </c>
      <c r="B152" s="4" t="s">
        <v>22</v>
      </c>
      <c r="C152" s="4" t="s">
        <v>4</v>
      </c>
      <c r="D152" s="4" t="s">
        <v>10</v>
      </c>
      <c r="E152" s="4">
        <v>12</v>
      </c>
      <c r="F152" s="4">
        <v>472</v>
      </c>
      <c r="G152" s="4">
        <f>INT(F152*1.4)</f>
        <v>660</v>
      </c>
      <c r="H152" s="10">
        <f>tbl_Sales4[[#This Row],[Qty]]*tbl_Sales4[[#This Row],[Unit price]]</f>
        <v>7920</v>
      </c>
      <c r="I152" s="10">
        <f>(tbl_Sales4[[#This Row],[Unit price]]-tbl_Sales4[[#This Row],[Unit cost]])*tbl_Sales4[[#This Row],[Qty]]</f>
        <v>2256</v>
      </c>
    </row>
    <row r="153" spans="1:9" x14ac:dyDescent="0.25">
      <c r="A153" s="3">
        <v>44243</v>
      </c>
      <c r="B153" s="4" t="s">
        <v>21</v>
      </c>
      <c r="C153" s="4" t="s">
        <v>1</v>
      </c>
      <c r="D153" s="4" t="s">
        <v>11</v>
      </c>
      <c r="E153" s="4">
        <v>20</v>
      </c>
      <c r="F153" s="4">
        <v>255</v>
      </c>
      <c r="G153" s="4">
        <f>INT(F153*1.4)</f>
        <v>357</v>
      </c>
      <c r="H153" s="10">
        <f>tbl_Sales4[[#This Row],[Qty]]*tbl_Sales4[[#This Row],[Unit price]]</f>
        <v>7140</v>
      </c>
      <c r="I153" s="10">
        <f>(tbl_Sales4[[#This Row],[Unit price]]-tbl_Sales4[[#This Row],[Unit cost]])*tbl_Sales4[[#This Row],[Qty]]</f>
        <v>2040</v>
      </c>
    </row>
    <row r="154" spans="1:9" x14ac:dyDescent="0.25">
      <c r="A154" s="3">
        <v>44243</v>
      </c>
      <c r="B154" s="4" t="s">
        <v>21</v>
      </c>
      <c r="C154" s="4" t="s">
        <v>1</v>
      </c>
      <c r="D154" s="4" t="s">
        <v>10</v>
      </c>
      <c r="E154" s="4">
        <v>5</v>
      </c>
      <c r="F154" s="4">
        <v>255</v>
      </c>
      <c r="G154" s="4">
        <f>INT(F154*1.4)</f>
        <v>357</v>
      </c>
      <c r="H154" s="10">
        <f>tbl_Sales4[[#This Row],[Qty]]*tbl_Sales4[[#This Row],[Unit price]]</f>
        <v>1785</v>
      </c>
      <c r="I154" s="10">
        <f>(tbl_Sales4[[#This Row],[Unit price]]-tbl_Sales4[[#This Row],[Unit cost]])*tbl_Sales4[[#This Row],[Qty]]</f>
        <v>510</v>
      </c>
    </row>
    <row r="155" spans="1:9" x14ac:dyDescent="0.25">
      <c r="A155" s="3">
        <v>44236</v>
      </c>
      <c r="B155" s="4" t="s">
        <v>20</v>
      </c>
      <c r="C155" s="4" t="s">
        <v>1</v>
      </c>
      <c r="D155" s="4" t="s">
        <v>10</v>
      </c>
      <c r="E155" s="4">
        <v>23</v>
      </c>
      <c r="F155" s="4">
        <v>278</v>
      </c>
      <c r="G155" s="4">
        <f>INT(F155*1.4)</f>
        <v>389</v>
      </c>
      <c r="H155" s="10">
        <f>tbl_Sales4[[#This Row],[Qty]]*tbl_Sales4[[#This Row],[Unit price]]</f>
        <v>8947</v>
      </c>
      <c r="I155" s="10">
        <f>(tbl_Sales4[[#This Row],[Unit price]]-tbl_Sales4[[#This Row],[Unit cost]])*tbl_Sales4[[#This Row],[Qty]]</f>
        <v>2553</v>
      </c>
    </row>
    <row r="156" spans="1:9" x14ac:dyDescent="0.25">
      <c r="A156" s="3">
        <v>44236</v>
      </c>
      <c r="B156" s="4" t="s">
        <v>20</v>
      </c>
      <c r="C156" s="4" t="s">
        <v>6</v>
      </c>
      <c r="D156" s="4" t="s">
        <v>9</v>
      </c>
      <c r="E156" s="4">
        <v>14</v>
      </c>
      <c r="F156" s="4">
        <v>278</v>
      </c>
      <c r="G156" s="4">
        <f>INT(F156*1.4)</f>
        <v>389</v>
      </c>
      <c r="H156" s="10">
        <f>tbl_Sales4[[#This Row],[Qty]]*tbl_Sales4[[#This Row],[Unit price]]</f>
        <v>5446</v>
      </c>
      <c r="I156" s="10">
        <f>(tbl_Sales4[[#This Row],[Unit price]]-tbl_Sales4[[#This Row],[Unit cost]])*tbl_Sales4[[#This Row],[Qty]]</f>
        <v>1554</v>
      </c>
    </row>
    <row r="157" spans="1:9" x14ac:dyDescent="0.25">
      <c r="A157" s="3">
        <v>44229</v>
      </c>
      <c r="B157" s="4" t="s">
        <v>19</v>
      </c>
      <c r="C157" s="4" t="s">
        <v>1</v>
      </c>
      <c r="D157" s="4" t="s">
        <v>7</v>
      </c>
      <c r="E157" s="4">
        <v>11</v>
      </c>
      <c r="F157" s="4">
        <v>206</v>
      </c>
      <c r="G157" s="4">
        <f>INT(F157*1.4)</f>
        <v>288</v>
      </c>
      <c r="H157" s="10">
        <f>tbl_Sales4[[#This Row],[Qty]]*tbl_Sales4[[#This Row],[Unit price]]</f>
        <v>3168</v>
      </c>
      <c r="I157" s="10">
        <f>(tbl_Sales4[[#This Row],[Unit price]]-tbl_Sales4[[#This Row],[Unit cost]])*tbl_Sales4[[#This Row],[Qty]]</f>
        <v>902</v>
      </c>
    </row>
    <row r="158" spans="1:9" x14ac:dyDescent="0.25">
      <c r="A158" s="3">
        <v>44229</v>
      </c>
      <c r="B158" s="4" t="s">
        <v>19</v>
      </c>
      <c r="C158" s="4" t="s">
        <v>4</v>
      </c>
      <c r="D158" s="4" t="s">
        <v>9</v>
      </c>
      <c r="E158" s="4">
        <v>12</v>
      </c>
      <c r="F158" s="4">
        <v>206</v>
      </c>
      <c r="G158" s="4">
        <f>INT(F158*1.4)</f>
        <v>288</v>
      </c>
      <c r="H158" s="10">
        <f>tbl_Sales4[[#This Row],[Qty]]*tbl_Sales4[[#This Row],[Unit price]]</f>
        <v>3456</v>
      </c>
      <c r="I158" s="10">
        <f>(tbl_Sales4[[#This Row],[Unit price]]-tbl_Sales4[[#This Row],[Unit cost]])*tbl_Sales4[[#This Row],[Qty]]</f>
        <v>984</v>
      </c>
    </row>
    <row r="159" spans="1:9" x14ac:dyDescent="0.25">
      <c r="A159" s="3">
        <v>44222</v>
      </c>
      <c r="B159" s="4" t="s">
        <v>18</v>
      </c>
      <c r="C159" s="4" t="s">
        <v>5</v>
      </c>
      <c r="D159" s="4" t="s">
        <v>9</v>
      </c>
      <c r="E159" s="4">
        <v>9</v>
      </c>
      <c r="F159" s="4">
        <v>474</v>
      </c>
      <c r="G159" s="4">
        <f>INT(F159*1.4)</f>
        <v>663</v>
      </c>
      <c r="H159" s="10">
        <f>tbl_Sales4[[#This Row],[Qty]]*tbl_Sales4[[#This Row],[Unit price]]</f>
        <v>5967</v>
      </c>
      <c r="I159" s="10">
        <f>(tbl_Sales4[[#This Row],[Unit price]]-tbl_Sales4[[#This Row],[Unit cost]])*tbl_Sales4[[#This Row],[Qty]]</f>
        <v>1701</v>
      </c>
    </row>
    <row r="160" spans="1:9" x14ac:dyDescent="0.25">
      <c r="A160" s="3">
        <v>44222</v>
      </c>
      <c r="B160" s="4" t="s">
        <v>18</v>
      </c>
      <c r="C160" s="4" t="s">
        <v>5</v>
      </c>
      <c r="D160" s="4" t="s">
        <v>8</v>
      </c>
      <c r="E160" s="4">
        <v>5</v>
      </c>
      <c r="F160" s="4">
        <v>474</v>
      </c>
      <c r="G160" s="4">
        <f>INT(F160*1.4)</f>
        <v>663</v>
      </c>
      <c r="H160" s="10">
        <f>tbl_Sales4[[#This Row],[Qty]]*tbl_Sales4[[#This Row],[Unit price]]</f>
        <v>3315</v>
      </c>
      <c r="I160" s="10">
        <f>(tbl_Sales4[[#This Row],[Unit price]]-tbl_Sales4[[#This Row],[Unit cost]])*tbl_Sales4[[#This Row],[Qty]]</f>
        <v>945</v>
      </c>
    </row>
    <row r="161" spans="1:9" x14ac:dyDescent="0.25">
      <c r="A161" s="3">
        <v>44215</v>
      </c>
      <c r="B161" s="4" t="s">
        <v>17</v>
      </c>
      <c r="C161" s="4" t="s">
        <v>6</v>
      </c>
      <c r="D161" s="4" t="s">
        <v>10</v>
      </c>
      <c r="E161" s="4">
        <v>7</v>
      </c>
      <c r="F161" s="4">
        <v>228</v>
      </c>
      <c r="G161" s="4">
        <f>INT(F161*1.4)</f>
        <v>319</v>
      </c>
      <c r="H161" s="10">
        <f>tbl_Sales4[[#This Row],[Qty]]*tbl_Sales4[[#This Row],[Unit price]]</f>
        <v>2233</v>
      </c>
      <c r="I161" s="10">
        <f>(tbl_Sales4[[#This Row],[Unit price]]-tbl_Sales4[[#This Row],[Unit cost]])*tbl_Sales4[[#This Row],[Qty]]</f>
        <v>637</v>
      </c>
    </row>
    <row r="162" spans="1:9" x14ac:dyDescent="0.25">
      <c r="A162" s="3">
        <v>44215</v>
      </c>
      <c r="B162" s="4" t="s">
        <v>17</v>
      </c>
      <c r="C162" s="4" t="s">
        <v>5</v>
      </c>
      <c r="D162" s="4" t="s">
        <v>7</v>
      </c>
      <c r="E162" s="4">
        <v>2</v>
      </c>
      <c r="F162" s="4">
        <v>228</v>
      </c>
      <c r="G162" s="4">
        <f>INT(F162*1.4)</f>
        <v>319</v>
      </c>
      <c r="H162" s="10">
        <f>tbl_Sales4[[#This Row],[Qty]]*tbl_Sales4[[#This Row],[Unit price]]</f>
        <v>638</v>
      </c>
      <c r="I162" s="10">
        <f>(tbl_Sales4[[#This Row],[Unit price]]-tbl_Sales4[[#This Row],[Unit cost]])*tbl_Sales4[[#This Row],[Qty]]</f>
        <v>182</v>
      </c>
    </row>
    <row r="163" spans="1:9" x14ac:dyDescent="0.25">
      <c r="A163" s="3">
        <v>44208</v>
      </c>
      <c r="B163" s="4" t="s">
        <v>16</v>
      </c>
      <c r="C163" s="4" t="s">
        <v>4</v>
      </c>
      <c r="D163" s="4" t="s">
        <v>7</v>
      </c>
      <c r="E163" s="4">
        <v>8</v>
      </c>
      <c r="F163" s="4">
        <v>360</v>
      </c>
      <c r="G163" s="4">
        <f>INT(F163*1.4)</f>
        <v>504</v>
      </c>
      <c r="H163" s="10">
        <f>tbl_Sales4[[#This Row],[Qty]]*tbl_Sales4[[#This Row],[Unit price]]</f>
        <v>4032</v>
      </c>
      <c r="I163" s="10">
        <f>(tbl_Sales4[[#This Row],[Unit price]]-tbl_Sales4[[#This Row],[Unit cost]])*tbl_Sales4[[#This Row],[Qty]]</f>
        <v>1152</v>
      </c>
    </row>
    <row r="164" spans="1:9" x14ac:dyDescent="0.25">
      <c r="A164" s="5">
        <v>44208</v>
      </c>
      <c r="B164" s="6" t="s">
        <v>16</v>
      </c>
      <c r="C164" s="4" t="s">
        <v>5</v>
      </c>
      <c r="D164" s="4" t="s">
        <v>8</v>
      </c>
      <c r="E164" s="6">
        <v>4</v>
      </c>
      <c r="F164" s="6">
        <v>360</v>
      </c>
      <c r="G164" s="6">
        <f>INT(F164*1.4)</f>
        <v>504</v>
      </c>
      <c r="H164" s="10">
        <f>tbl_Sales4[[#This Row],[Qty]]*tbl_Sales4[[#This Row],[Unit price]]</f>
        <v>2016</v>
      </c>
      <c r="I164" s="10">
        <f>(tbl_Sales4[[#This Row],[Unit price]]-tbl_Sales4[[#This Row],[Unit cost]])*tbl_Sales4[[#This Row],[Qty]]</f>
        <v>576</v>
      </c>
    </row>
  </sheetData>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3" ma:contentTypeDescription="Crée un document." ma:contentTypeScope="" ma:versionID="ee61e397712e1b6dc7739e32d7ccec9d">
  <xsd:schema xmlns:xsd="http://www.w3.org/2001/XMLSchema" xmlns:xs="http://www.w3.org/2001/XMLSchema" xmlns:p="http://schemas.microsoft.com/office/2006/metadata/properties" xmlns:ns2="037ed5ce-9e80-41f7-81a5-4f297c26d5d9" targetNamespace="http://schemas.microsoft.com/office/2006/metadata/properties" ma:root="true" ma:fieldsID="98486b18ee558285ff8da1122274ee2d"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F460069-CB67-41E0-9AEF-18185FA64F1C}">
  <ds:schemaRefs>
    <ds:schemaRef ds:uri="http://schemas.microsoft.com/sharepoint/v3/contenttype/forms"/>
  </ds:schemaRefs>
</ds:datastoreItem>
</file>

<file path=customXml/itemProps2.xml><?xml version="1.0" encoding="utf-8"?>
<ds:datastoreItem xmlns:ds="http://schemas.openxmlformats.org/officeDocument/2006/customXml" ds:itemID="{719CF839-692F-4571-ABF7-446DFA3BAC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ed5ce-9e80-41f7-81a5-4f297c26d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CAB67D1-9965-4F36-B224-49FADBD060E0}">
  <ds:schemaRefs>
    <ds:schemaRef ds:uri="http://schemas.microsoft.com/office/infopath/2007/PartnerControls"/>
    <ds:schemaRef ds:uri="http://schemas.openxmlformats.org/package/2006/metadata/core-properties"/>
    <ds:schemaRef ds:uri="http://purl.org/dc/terms/"/>
    <ds:schemaRef ds:uri="http://purl.org/dc/elements/1.1/"/>
    <ds:schemaRef ds:uri="http://schemas.microsoft.com/office/2006/documentManagement/types"/>
    <ds:schemaRef ds:uri="http://schemas.microsoft.com/office/2006/metadata/properties"/>
    <ds:schemaRef ds:uri="037ed5ce-9e80-41f7-81a5-4f297c26d5d9"/>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Grouped rows</vt:lpstr>
      <vt:lpstr>YTD</vt:lpstr>
      <vt:lpstr>Detail1</vt:lpstr>
      <vt:lpstr>YoY</vt:lpstr>
      <vt:lpstr>Monthly changes (charts)</vt:lpstr>
      <vt:lpstr>Monthly changes</vt:lpstr>
      <vt:lpstr>Rank</vt:lpstr>
      <vt:lpstr>Sales History</vt:lpstr>
      <vt:lpstr>Bar chart</vt:lpstr>
      <vt:lpstr>Pivot chart</vt:lpstr>
      <vt:lpstr>Calc. field</vt:lpstr>
      <vt:lpstr>Basic pivot tables</vt:lpstr>
      <vt:lpstr>Data Source</vt:lpstr>
      <vt:lpstr>New data</vt:lpstr>
      <vt:lpstr>Data Source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 manager</dc:creator>
  <cp:keywords/>
  <dc:description/>
  <cp:lastModifiedBy>Ludovic Moreau, manager</cp:lastModifiedBy>
  <cp:revision/>
  <dcterms:created xsi:type="dcterms:W3CDTF">2024-02-28T16:09:42Z</dcterms:created>
  <dcterms:modified xsi:type="dcterms:W3CDTF">2026-05-31T16:02:14Z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Order">
    <vt:r8>68700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y fmtid="{D5CDD505-2E9C-101B-9397-08002B2CF9AE}" pid="8" name="SharedWithUsers">
    <vt:lpwstr/>
  </property>
</Properties>
</file>