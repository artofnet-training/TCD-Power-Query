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timelines/timeline1.xml" ContentType="application/vnd.ms-excel.timeline+xml"/>
  <Override PartName="/xl/pivotTables/pivotTable10.xml" ContentType="application/vnd.openxmlformats-officedocument.spreadsheetml.pivotTable+xml"/>
  <Override PartName="/xl/drawings/drawing7.xml" ContentType="application/vnd.openxmlformats-officedocument.drawing+xml"/>
  <Override PartName="/xl/timelines/timeline2.xml" ContentType="application/vnd.ms-excel.timelin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1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2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moreau.sharepoint.com/sites/FORMATIONS2/EXCEL/EXCEL-MEPT/"/>
    </mc:Choice>
  </mc:AlternateContent>
  <xr:revisionPtr revIDLastSave="1541" documentId="13_ncr:1_{7A2477E5-443C-4945-9C4A-8F37CF70A582}" xr6:coauthVersionLast="47" xr6:coauthVersionMax="47" xr10:uidLastSave="{7004982A-C2EC-4E21-ADC8-F721933B1785}"/>
  <bookViews>
    <workbookView xWindow="-120" yWindow="-120" windowWidth="29040" windowHeight="15720" firstSheet="7" activeTab="10" xr2:uid="{DB740D6D-15A4-4370-B580-A23B1E19307F}"/>
  </bookViews>
  <sheets>
    <sheet name="tcd_Segments" sheetId="15" r:id="rId1"/>
    <sheet name="tcd_Groupesprix" sheetId="7" r:id="rId2"/>
    <sheet name="tcd_QteVarCumul" sheetId="4" r:id="rId3"/>
    <sheet name="tcd_QteCombo" sheetId="14" r:id="rId4"/>
    <sheet name="tcd_VentesPY" sheetId="11" r:id="rId5"/>
    <sheet name="tcd_VentesDiffPM" sheetId="3" r:id="rId6"/>
    <sheet name="tcd_DateRang" sheetId="10" r:id="rId7"/>
    <sheet name="tcd_Ventes" sheetId="2" r:id="rId8"/>
    <sheet name="tcd_prodAnnee" sheetId="6" r:id="rId9"/>
    <sheet name="tcd_MargeCanalLivraison" sheetId="8" r:id="rId10"/>
    <sheet name="tcd_CanalLivraison" sheetId="9" r:id="rId11"/>
    <sheet name="Liste_départ" sheetId="1" r:id="rId12"/>
    <sheet name="Ajout_Data" sheetId="5" r:id="rId13"/>
  </sheets>
  <definedNames>
    <definedName name="_xlcn.WorksheetConnection_TCD_produits.xlsxTableau11" hidden="1">tbl_Ventes[]</definedName>
    <definedName name="ChronologieNative_dateVente">#N/A</definedName>
    <definedName name="ChronologieNative_dateVente1">#N/A</definedName>
    <definedName name="Segment_Canal">#N/A</definedName>
    <definedName name="Segment_Prod">#N/A</definedName>
  </definedNames>
  <calcPr calcId="191028"/>
  <pivotCaches>
    <pivotCache cacheId="25" r:id="rId14"/>
    <pivotCache cacheId="11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8"/>
        <x15:timelineCacheRef r:id="rId19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au1" name="Tableau1" connection="WorksheetConnection_TCD_produits.xlsx!Tableau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4" i="1" l="1"/>
  <c r="G163" i="1"/>
  <c r="G162" i="1"/>
  <c r="G161" i="1"/>
  <c r="G160" i="1"/>
  <c r="G159" i="1"/>
  <c r="G158" i="1"/>
  <c r="G157" i="1"/>
  <c r="I157" i="1" s="1"/>
  <c r="G156" i="1"/>
  <c r="I156" i="1" s="1"/>
  <c r="G155" i="1"/>
  <c r="H155" i="1" s="1"/>
  <c r="G154" i="1"/>
  <c r="H154" i="1" s="1"/>
  <c r="G153" i="1"/>
  <c r="I153" i="1" s="1"/>
  <c r="G152" i="1"/>
  <c r="G151" i="1"/>
  <c r="G150" i="1"/>
  <c r="G149" i="1"/>
  <c r="G148" i="1"/>
  <c r="G147" i="1"/>
  <c r="G146" i="1"/>
  <c r="G145" i="1"/>
  <c r="G144" i="1"/>
  <c r="I144" i="1" s="1"/>
  <c r="G143" i="1"/>
  <c r="I143" i="1" s="1"/>
  <c r="G142" i="1"/>
  <c r="I142" i="1" s="1"/>
  <c r="G141" i="1"/>
  <c r="H141" i="1" s="1"/>
  <c r="G140" i="1"/>
  <c r="G139" i="1"/>
  <c r="G138" i="1"/>
  <c r="G137" i="1"/>
  <c r="G136" i="1"/>
  <c r="G135" i="1"/>
  <c r="G134" i="1"/>
  <c r="G133" i="1"/>
  <c r="G132" i="1"/>
  <c r="G131" i="1"/>
  <c r="G130" i="1"/>
  <c r="H130" i="1" s="1"/>
  <c r="G129" i="1"/>
  <c r="I129" i="1" s="1"/>
  <c r="G128" i="1"/>
  <c r="G127" i="1"/>
  <c r="G126" i="1"/>
  <c r="G125" i="1"/>
  <c r="G124" i="1"/>
  <c r="G123" i="1"/>
  <c r="G122" i="1"/>
  <c r="G121" i="1"/>
  <c r="G120" i="1"/>
  <c r="H120" i="1" s="1"/>
  <c r="G119" i="1"/>
  <c r="I119" i="1" s="1"/>
  <c r="G118" i="1"/>
  <c r="H118" i="1" s="1"/>
  <c r="G117" i="1"/>
  <c r="I117" i="1" s="1"/>
  <c r="G116" i="1"/>
  <c r="G115" i="1"/>
  <c r="G114" i="1"/>
  <c r="G113" i="1"/>
  <c r="G112" i="1"/>
  <c r="G111" i="1"/>
  <c r="G110" i="1"/>
  <c r="G109" i="1"/>
  <c r="I109" i="1" s="1"/>
  <c r="G108" i="1"/>
  <c r="H108" i="1" s="1"/>
  <c r="G107" i="1"/>
  <c r="H107" i="1" s="1"/>
  <c r="G106" i="1"/>
  <c r="H106" i="1" s="1"/>
  <c r="G105" i="1"/>
  <c r="H105" i="1" s="1"/>
  <c r="G104" i="1"/>
  <c r="G103" i="1"/>
  <c r="G102" i="1"/>
  <c r="G101" i="1"/>
  <c r="G100" i="1"/>
  <c r="G99" i="1"/>
  <c r="G98" i="1"/>
  <c r="G97" i="1"/>
  <c r="I97" i="1" s="1"/>
  <c r="G96" i="1"/>
  <c r="I96" i="1" s="1"/>
  <c r="G95" i="1"/>
  <c r="H95" i="1" s="1"/>
  <c r="G94" i="1"/>
  <c r="H94" i="1" s="1"/>
  <c r="G93" i="1"/>
  <c r="H93" i="1" s="1"/>
  <c r="G92" i="1"/>
  <c r="G91" i="1"/>
  <c r="G90" i="1"/>
  <c r="G89" i="1"/>
  <c r="G88" i="1"/>
  <c r="G87" i="1"/>
  <c r="G86" i="1"/>
  <c r="G85" i="1"/>
  <c r="H85" i="1" s="1"/>
  <c r="G84" i="1"/>
  <c r="H84" i="1" s="1"/>
  <c r="G83" i="1"/>
  <c r="H83" i="1" s="1"/>
  <c r="G82" i="1"/>
  <c r="I82" i="1" s="1"/>
  <c r="G81" i="1"/>
  <c r="H81" i="1" s="1"/>
  <c r="G80" i="1"/>
  <c r="G79" i="1"/>
  <c r="G78" i="1"/>
  <c r="G77" i="1"/>
  <c r="G76" i="1"/>
  <c r="G75" i="1"/>
  <c r="G74" i="1"/>
  <c r="G73" i="1"/>
  <c r="H73" i="1" s="1"/>
  <c r="G72" i="1"/>
  <c r="H72" i="1" s="1"/>
  <c r="G71" i="1"/>
  <c r="I71" i="1" s="1"/>
  <c r="G70" i="1"/>
  <c r="H70" i="1" s="1"/>
  <c r="G69" i="1"/>
  <c r="H69" i="1" s="1"/>
  <c r="G68" i="1"/>
  <c r="G67" i="1"/>
  <c r="G66" i="1"/>
  <c r="G65" i="1"/>
  <c r="G64" i="1"/>
  <c r="G63" i="1"/>
  <c r="G62" i="1"/>
  <c r="G61" i="1"/>
  <c r="G60" i="1"/>
  <c r="H60" i="1" s="1"/>
  <c r="G59" i="1"/>
  <c r="I59" i="1" s="1"/>
  <c r="G58" i="1"/>
  <c r="H58" i="1" s="1"/>
  <c r="G57" i="1"/>
  <c r="H57" i="1" s="1"/>
  <c r="G56" i="1"/>
  <c r="G55" i="1"/>
  <c r="G54" i="1"/>
  <c r="G53" i="1"/>
  <c r="G52" i="1"/>
  <c r="G51" i="1"/>
  <c r="G50" i="1"/>
  <c r="G49" i="1"/>
  <c r="G48" i="1"/>
  <c r="H48" i="1" s="1"/>
  <c r="G47" i="1"/>
  <c r="I47" i="1" s="1"/>
  <c r="G46" i="1"/>
  <c r="H46" i="1" s="1"/>
  <c r="G45" i="1"/>
  <c r="H45" i="1" s="1"/>
  <c r="G44" i="1"/>
  <c r="G43" i="1"/>
  <c r="G42" i="1"/>
  <c r="G41" i="1"/>
  <c r="G40" i="1"/>
  <c r="G39" i="1"/>
  <c r="G38" i="1"/>
  <c r="G37" i="1"/>
  <c r="G36" i="1"/>
  <c r="G35" i="1"/>
  <c r="H35" i="1" s="1"/>
  <c r="G34" i="1"/>
  <c r="I34" i="1" s="1"/>
  <c r="G33" i="1"/>
  <c r="I33" i="1" s="1"/>
  <c r="G32" i="1"/>
  <c r="G31" i="1"/>
  <c r="G30" i="1"/>
  <c r="G29" i="1"/>
  <c r="G28" i="1"/>
  <c r="G27" i="1"/>
  <c r="G26" i="1"/>
  <c r="G25" i="1"/>
  <c r="H25" i="1" s="1"/>
  <c r="G24" i="1"/>
  <c r="I24" i="1" s="1"/>
  <c r="G23" i="1"/>
  <c r="G22" i="1"/>
  <c r="H22" i="1" s="1"/>
  <c r="G21" i="1"/>
  <c r="H21" i="1" s="1"/>
  <c r="G20" i="1"/>
  <c r="G19" i="1"/>
  <c r="G18" i="1"/>
  <c r="G17" i="1"/>
  <c r="G16" i="1"/>
  <c r="G15" i="1"/>
  <c r="G14" i="1"/>
  <c r="G13" i="1"/>
  <c r="H13" i="1" s="1"/>
  <c r="G12" i="1"/>
  <c r="G11" i="1"/>
  <c r="I11" i="1" s="1"/>
  <c r="G10" i="1"/>
  <c r="H10" i="1" s="1"/>
  <c r="G9" i="1"/>
  <c r="H9" i="1" s="1"/>
  <c r="G8" i="1"/>
  <c r="G7" i="1"/>
  <c r="G6" i="1"/>
  <c r="G5" i="1"/>
  <c r="G4" i="1"/>
  <c r="G3" i="1"/>
  <c r="G2" i="1"/>
  <c r="I12" i="1"/>
  <c r="H23" i="1"/>
  <c r="I36" i="1"/>
  <c r="H121" i="1"/>
  <c r="H131" i="1"/>
  <c r="H132" i="1"/>
  <c r="H133" i="1"/>
  <c r="I159" i="1"/>
  <c r="H158" i="1"/>
  <c r="I145" i="1"/>
  <c r="I135" i="1"/>
  <c r="I126" i="1"/>
  <c r="I123" i="1"/>
  <c r="H111" i="1"/>
  <c r="H99" i="1"/>
  <c r="H98" i="1"/>
  <c r="I87" i="1"/>
  <c r="I75" i="1"/>
  <c r="I63" i="1"/>
  <c r="H61" i="1"/>
  <c r="I51" i="1"/>
  <c r="H49" i="1"/>
  <c r="H39" i="1"/>
  <c r="H27" i="1"/>
  <c r="H15" i="1"/>
  <c r="H3" i="1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I127" i="1"/>
  <c r="H125" i="1"/>
  <c r="I116" i="1"/>
  <c r="I114" i="1"/>
  <c r="H104" i="1"/>
  <c r="I103" i="1"/>
  <c r="I102" i="1"/>
  <c r="I164" i="1"/>
  <c r="H164" i="1"/>
  <c r="H163" i="1"/>
  <c r="H162" i="1"/>
  <c r="H161" i="1"/>
  <c r="I160" i="1"/>
  <c r="H151" i="1"/>
  <c r="H148" i="1"/>
  <c r="I147" i="1"/>
  <c r="I139" i="1"/>
  <c r="I138" i="1"/>
  <c r="H92" i="1"/>
  <c r="H91" i="1"/>
  <c r="I90" i="1"/>
  <c r="H86" i="1"/>
  <c r="H88" i="1"/>
  <c r="H89" i="1"/>
  <c r="H100" i="1"/>
  <c r="H101" i="1"/>
  <c r="H110" i="1"/>
  <c r="H112" i="1"/>
  <c r="H113" i="1"/>
  <c r="I115" i="1"/>
  <c r="H122" i="1"/>
  <c r="H124" i="1"/>
  <c r="H128" i="1"/>
  <c r="H134" i="1"/>
  <c r="H136" i="1"/>
  <c r="H137" i="1"/>
  <c r="H140" i="1"/>
  <c r="H146" i="1"/>
  <c r="H149" i="1"/>
  <c r="I150" i="1"/>
  <c r="I152" i="1"/>
  <c r="H143" i="1"/>
  <c r="H144" i="1"/>
  <c r="H153" i="1"/>
  <c r="I86" i="1"/>
  <c r="I88" i="1"/>
  <c r="I89" i="1"/>
  <c r="I100" i="1"/>
  <c r="I101" i="1"/>
  <c r="I110" i="1"/>
  <c r="I112" i="1"/>
  <c r="I113" i="1"/>
  <c r="I122" i="1"/>
  <c r="I124" i="1"/>
  <c r="I133" i="1"/>
  <c r="I134" i="1"/>
  <c r="I136" i="1"/>
  <c r="I137" i="1"/>
  <c r="I146" i="1"/>
  <c r="I148" i="1"/>
  <c r="I149" i="1"/>
  <c r="I158" i="1"/>
  <c r="I161" i="1"/>
  <c r="I7" i="1"/>
  <c r="I8" i="1"/>
  <c r="I19" i="1"/>
  <c r="I20" i="1"/>
  <c r="I31" i="1"/>
  <c r="I32" i="1"/>
  <c r="H80" i="1"/>
  <c r="H79" i="1"/>
  <c r="H68" i="1"/>
  <c r="H67" i="1"/>
  <c r="H56" i="1"/>
  <c r="H55" i="1"/>
  <c r="H44" i="1"/>
  <c r="H43" i="1"/>
  <c r="H78" i="1"/>
  <c r="I77" i="1"/>
  <c r="I76" i="1"/>
  <c r="I74" i="1"/>
  <c r="H66" i="1"/>
  <c r="I65" i="1"/>
  <c r="I64" i="1"/>
  <c r="I62" i="1"/>
  <c r="H54" i="1"/>
  <c r="I53" i="1"/>
  <c r="I52" i="1"/>
  <c r="I50" i="1"/>
  <c r="H42" i="1"/>
  <c r="H41" i="1"/>
  <c r="H40" i="1"/>
  <c r="H38" i="1"/>
  <c r="H37" i="1"/>
  <c r="H32" i="1"/>
  <c r="H31" i="1"/>
  <c r="H30" i="1"/>
  <c r="H29" i="1"/>
  <c r="H28" i="1"/>
  <c r="H26" i="1"/>
  <c r="H4" i="1"/>
  <c r="H5" i="1"/>
  <c r="H6" i="1"/>
  <c r="H7" i="1"/>
  <c r="H8" i="1"/>
  <c r="H14" i="1"/>
  <c r="H16" i="1"/>
  <c r="H17" i="1"/>
  <c r="H18" i="1"/>
  <c r="H19" i="1"/>
  <c r="H20" i="1"/>
  <c r="H2" i="1"/>
  <c r="I155" i="1" l="1"/>
  <c r="H129" i="1"/>
  <c r="I107" i="1"/>
  <c r="H33" i="1"/>
  <c r="I141" i="1"/>
  <c r="I105" i="1"/>
  <c r="H142" i="1"/>
  <c r="I154" i="1"/>
  <c r="I118" i="1"/>
  <c r="H34" i="1"/>
  <c r="I22" i="1"/>
  <c r="H82" i="1"/>
  <c r="I10" i="1"/>
  <c r="I130" i="1"/>
  <c r="I108" i="1"/>
  <c r="H96" i="1"/>
  <c r="I132" i="1"/>
  <c r="H11" i="1"/>
  <c r="I131" i="1"/>
  <c r="I95" i="1"/>
  <c r="H119" i="1"/>
  <c r="I83" i="1"/>
  <c r="H109" i="1"/>
  <c r="H123" i="1"/>
  <c r="I111" i="1"/>
  <c r="H145" i="1"/>
  <c r="H87" i="1"/>
  <c r="H97" i="1"/>
  <c r="I85" i="1"/>
  <c r="I84" i="1"/>
  <c r="H135" i="1"/>
  <c r="I121" i="1"/>
  <c r="I120" i="1"/>
  <c r="I99" i="1"/>
  <c r="H157" i="1"/>
  <c r="I98" i="1"/>
  <c r="H156" i="1"/>
  <c r="I125" i="1"/>
  <c r="H117" i="1"/>
  <c r="I106" i="1"/>
  <c r="H147" i="1"/>
  <c r="H160" i="1"/>
  <c r="H159" i="1"/>
  <c r="I163" i="1"/>
  <c r="I162" i="1"/>
  <c r="I93" i="1"/>
  <c r="I94" i="1"/>
  <c r="H152" i="1"/>
  <c r="H116" i="1"/>
  <c r="H127" i="1"/>
  <c r="H103" i="1"/>
  <c r="H138" i="1"/>
  <c r="H114" i="1"/>
  <c r="H90" i="1"/>
  <c r="I140" i="1"/>
  <c r="I128" i="1"/>
  <c r="I104" i="1"/>
  <c r="I92" i="1"/>
  <c r="H139" i="1"/>
  <c r="H115" i="1"/>
  <c r="H150" i="1"/>
  <c r="H126" i="1"/>
  <c r="H102" i="1"/>
  <c r="I151" i="1"/>
  <c r="I91" i="1"/>
  <c r="I35" i="1"/>
  <c r="I21" i="1"/>
  <c r="I9" i="1"/>
  <c r="H36" i="1"/>
  <c r="H12" i="1"/>
  <c r="I30" i="1"/>
  <c r="I18" i="1"/>
  <c r="I6" i="1"/>
  <c r="I41" i="1"/>
  <c r="I29" i="1"/>
  <c r="I17" i="1"/>
  <c r="I5" i="1"/>
  <c r="I40" i="1"/>
  <c r="I28" i="1"/>
  <c r="I16" i="1"/>
  <c r="I4" i="1"/>
  <c r="I39" i="1"/>
  <c r="I27" i="1"/>
  <c r="I15" i="1"/>
  <c r="I3" i="1"/>
  <c r="H24" i="1"/>
  <c r="I38" i="1"/>
  <c r="I26" i="1"/>
  <c r="I14" i="1"/>
  <c r="I2" i="1"/>
  <c r="I23" i="1"/>
  <c r="I37" i="1"/>
  <c r="I25" i="1"/>
  <c r="I13" i="1"/>
  <c r="I60" i="1"/>
  <c r="I58" i="1"/>
  <c r="I48" i="1"/>
  <c r="I46" i="1"/>
  <c r="I72" i="1"/>
  <c r="I70" i="1"/>
  <c r="I73" i="1"/>
  <c r="I61" i="1"/>
  <c r="I49" i="1"/>
  <c r="I81" i="1"/>
  <c r="I69" i="1"/>
  <c r="I57" i="1"/>
  <c r="I45" i="1"/>
  <c r="I80" i="1"/>
  <c r="I68" i="1"/>
  <c r="I56" i="1"/>
  <c r="I44" i="1"/>
  <c r="I79" i="1"/>
  <c r="I67" i="1"/>
  <c r="I55" i="1"/>
  <c r="I43" i="1"/>
  <c r="I78" i="1"/>
  <c r="I66" i="1"/>
  <c r="I54" i="1"/>
  <c r="I42" i="1"/>
  <c r="H47" i="1"/>
  <c r="H59" i="1"/>
  <c r="H71" i="1"/>
  <c r="H62" i="1"/>
  <c r="H74" i="1"/>
  <c r="H51" i="1"/>
  <c r="H63" i="1"/>
  <c r="H75" i="1"/>
  <c r="H52" i="1"/>
  <c r="H64" i="1"/>
  <c r="H76" i="1"/>
  <c r="H53" i="1"/>
  <c r="H65" i="1"/>
  <c r="H7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60B5F3-9094-49B8-A170-8DB59CCA9723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1124657-C5C2-4268-9B36-F8660461C22A}" name="WorksheetConnection_TCD_produits.xlsx!Tableau1" type="102" refreshedVersion="8" minRefreshableVersion="5">
    <extLst>
      <ext xmlns:x15="http://schemas.microsoft.com/office/spreadsheetml/2010/11/main" uri="{DE250136-89BD-433C-8126-D09CA5730AF9}">
        <x15:connection id="Tableau1">
          <x15:rangePr sourceName="_xlcn.WorksheetConnection_TCD_produits.xlsxTableau11"/>
        </x15:connection>
      </ext>
    </extLst>
  </connection>
</connections>
</file>

<file path=xl/sharedStrings.xml><?xml version="1.0" encoding="utf-8"?>
<sst xmlns="http://schemas.openxmlformats.org/spreadsheetml/2006/main" count="999" uniqueCount="104">
  <si>
    <t xml:space="preserve">Total </t>
  </si>
  <si>
    <t>2021</t>
  </si>
  <si>
    <t>2022</t>
  </si>
  <si>
    <t>Total général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</si>
  <si>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</si>
  <si>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</si>
  <si>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</si>
  <si>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</si>
  <si>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</si>
  <si>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</si>
  <si>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</si>
  <si>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</si>
  <si>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</si>
  <si>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nov</t>
  </si>
  <si>
    <t>Étiquettes de lignes</t>
  </si>
  <si>
    <t>Somme de Marge</t>
  </si>
  <si>
    <t>Marge%</t>
  </si>
  <si>
    <t>0-999</t>
  </si>
  <si>
    <t>1000-1999</t>
  </si>
  <si>
    <t>2000-2999</t>
  </si>
  <si>
    <t>3000-3999</t>
  </si>
  <si>
    <t>4000-4999</t>
  </si>
  <si>
    <t>5000-5999</t>
  </si>
  <si>
    <t>6000-6999</t>
  </si>
  <si>
    <t>7000-7999</t>
  </si>
  <si>
    <t>8000-8999</t>
  </si>
  <si>
    <t>9000-9999</t>
  </si>
  <si>
    <t>10000-10999</t>
  </si>
  <si>
    <t>11000-11999</t>
  </si>
  <si>
    <t>12000-12999</t>
  </si>
  <si>
    <t>13000-13999</t>
  </si>
  <si>
    <t>14000-14999</t>
  </si>
  <si>
    <t>15000-15999</t>
  </si>
  <si>
    <t>16000-16999</t>
  </si>
  <si>
    <t>Somme de Qté</t>
  </si>
  <si>
    <t>Variation</t>
  </si>
  <si>
    <t>Cumul</t>
  </si>
  <si>
    <t>oct</t>
  </si>
  <si>
    <t>déc</t>
  </si>
  <si>
    <t>Total 2021</t>
  </si>
  <si>
    <t>Total 2022</t>
  </si>
  <si>
    <t>Années</t>
  </si>
  <si>
    <t>Mois</t>
  </si>
  <si>
    <t>Total Qté</t>
  </si>
  <si>
    <t>Diff PY %</t>
  </si>
  <si>
    <t>Δ% PY</t>
  </si>
  <si>
    <t>Années (dateVente)</t>
  </si>
  <si>
    <t>DIff PM</t>
  </si>
  <si>
    <t>Diff PM %</t>
  </si>
  <si>
    <t>% du total</t>
  </si>
  <si>
    <t>Rang</t>
  </si>
  <si>
    <t>Somme de Total Vente</t>
  </si>
  <si>
    <t>% de l'année</t>
  </si>
  <si>
    <t>Étiquettes de colonnes</t>
  </si>
  <si>
    <t>Trimestre1</t>
  </si>
  <si>
    <t>Trimestre2</t>
  </si>
  <si>
    <t>Trimestre3</t>
  </si>
  <si>
    <t>Trimestre4</t>
  </si>
  <si>
    <t>P7</t>
  </si>
  <si>
    <t>P9</t>
  </si>
  <si>
    <t>P10</t>
  </si>
  <si>
    <t>P11</t>
  </si>
  <si>
    <t>P12</t>
  </si>
  <si>
    <t>P1</t>
  </si>
  <si>
    <t>P2</t>
  </si>
  <si>
    <t>P3</t>
  </si>
  <si>
    <t>P4</t>
  </si>
  <si>
    <t>P5</t>
  </si>
  <si>
    <t>P6</t>
  </si>
  <si>
    <t>P8</t>
  </si>
  <si>
    <t>P13</t>
  </si>
  <si>
    <t>P14</t>
  </si>
  <si>
    <t>P15</t>
  </si>
  <si>
    <t>P16</t>
  </si>
  <si>
    <t>P17</t>
  </si>
  <si>
    <t>P18</t>
  </si>
  <si>
    <t>P19</t>
  </si>
  <si>
    <t>P20</t>
  </si>
  <si>
    <t>Commercial</t>
  </si>
  <si>
    <t>Internet</t>
  </si>
  <si>
    <t>Magasin</t>
  </si>
  <si>
    <t>Téléphone</t>
  </si>
  <si>
    <t>Frêt avion</t>
  </si>
  <si>
    <t>Poste express</t>
  </si>
  <si>
    <t>Poste normal</t>
  </si>
  <si>
    <t>Retrait</t>
  </si>
  <si>
    <t>Revendeur2</t>
  </si>
  <si>
    <t>dateVente</t>
  </si>
  <si>
    <t>Prod</t>
  </si>
  <si>
    <t>Canal</t>
  </si>
  <si>
    <t>Livraison</t>
  </si>
  <si>
    <t>Qté</t>
  </si>
  <si>
    <t>PA</t>
  </si>
  <si>
    <t>PV</t>
  </si>
  <si>
    <t>Total Vente</t>
  </si>
  <si>
    <t>Marge</t>
  </si>
  <si>
    <t>Revendeur</t>
  </si>
  <si>
    <t>Moyenne de Marge</t>
  </si>
  <si>
    <t>Nombre de Marge</t>
  </si>
  <si>
    <t>Somme de TTC</t>
  </si>
  <si>
    <t xml:space="preserve"> TVA</t>
  </si>
  <si>
    <t>Online</t>
  </si>
  <si>
    <t>Offline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</si>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</sst>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CHF&quot;_-;\-* #,##0.00\ &quot;CHF&quot;_-;_-* &quot;-&quot;??\ &quot;CHF&quot;_-;_-@_-"/>
    <numFmt numFmtId="164" formatCode="_-* #,##0\ &quot;CHF&quot;_-;\-* #,##0\ &quot;CHF&quot;_-;_-* &quot;-&quot;??\ &quot;CHF&quot;_-;_-@_-"/>
    <numFmt numFmtId="165" formatCode="_-* #,##0.00\ [$CHF-100C]_-;\-* #,##0.00\ [$CHF-100C]_-;_-* &quot;-&quot;??\ [$CHF-100C]_-;_-@_-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0" fontId="0" fillId="0" borderId="0" xfId="0" applyNumberFormat="1"/>
    <xf numFmtId="164" fontId="0" fillId="0" borderId="0" xfId="1" applyNumberFormat="1" applyFont="1"/>
    <xf numFmtId="0" fontId="0" fillId="0" borderId="2" xfId="0" applyBorder="1"/>
    <xf numFmtId="14" fontId="0" fillId="0" borderId="1" xfId="0" applyNumberFormat="1" applyBorder="1"/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165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14" fontId="0" fillId="0" borderId="3" xfId="0" applyNumberFormat="1" applyBorder="1"/>
    <xf numFmtId="0" fontId="0" fillId="0" borderId="4" xfId="0" applyBorder="1"/>
    <xf numFmtId="1" fontId="0" fillId="0" borderId="0" xfId="0" applyNumberFormat="1"/>
    <xf numFmtId="0" fontId="0" fillId="0" borderId="0" xfId="0" applyNumberFormat="1"/>
    <xf numFmtId="166" fontId="0" fillId="0" borderId="0" xfId="0" applyNumberFormat="1"/>
  </cellXfs>
  <cellStyles count="2">
    <cellStyle name="Monétaire" xfId="1" builtinId="4"/>
    <cellStyle name="Normal" xfId="0" builtinId="0"/>
  </cellStyles>
  <dxfs count="63"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>
          <bgColor theme="5" tint="0.79998168889431442"/>
        </patternFill>
      </fill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>
          <bgColor theme="5" tint="0.79998168889431442"/>
        </patternFill>
      </fill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>
          <bgColor theme="5" tint="0.79998168889431442"/>
        </patternFill>
      </fill>
    </dxf>
    <dxf>
      <numFmt numFmtId="166" formatCode="0.0%"/>
    </dxf>
    <dxf>
      <numFmt numFmtId="166" formatCode="0.0%"/>
    </dxf>
    <dxf>
      <numFmt numFmtId="164" formatCode="_-* #,##0\ &quot;CHF&quot;_-;\-* #,##0\ &quot;CHF&quot;_-;_-* &quot;-&quot;??\ &quot;CHF&quot;_-;_-@_-"/>
    </dxf>
    <dxf>
      <numFmt numFmtId="164" formatCode="_-* #,##0\ &quot;CHF&quot;_-;\-* #,##0\ &quot;CHF&quot;_-;_-* &quot;-&quot;??\ &quot;CHF&quot;_-;_-@_-"/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numFmt numFmtId="19" formatCode="dd/mm/yyyy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numFmt numFmtId="14" formatCode="0.00%"/>
    </dxf>
    <dxf>
      <numFmt numFmtId="14" formatCode="0.00%"/>
    </dxf>
    <dxf>
      <numFmt numFmtId="0" formatCode="General"/>
    </dxf>
    <dxf>
      <numFmt numFmtId="1" formatCode="0"/>
    </dxf>
    <dxf>
      <numFmt numFmtId="14" formatCode="0.00%"/>
    </dxf>
    <dxf>
      <numFmt numFmtId="0" formatCode="General"/>
    </dxf>
    <dxf>
      <font>
        <color theme="9" tint="-0.499984740745262"/>
      </font>
      <fill>
        <patternFill>
          <bgColor theme="9" tint="0.79998168889431442"/>
        </patternFill>
      </fill>
    </dxf>
    <dxf>
      <numFmt numFmtId="165" formatCode="_-* #,##0.00\ [$CHF-100C]_-;\-* #,##0.00\ [$CHF-100C]_-;_-* &quot;-&quot;??\ [$CHF-100C]_-;_-@_-"/>
    </dxf>
    <dxf>
      <numFmt numFmtId="0" formatCode="General"/>
    </dxf>
    <dxf>
      <numFmt numFmtId="14" formatCode="0.00%"/>
    </dxf>
    <dxf>
      <numFmt numFmtId="164" formatCode="_-* #,##0\ &quot;CHF&quot;_-;\-* #,##0\ &quot;CHF&quot;_-;_-* &quot;-&quot;??\ &quot;CHF&quot;_-;_-@_-"/>
    </dxf>
    <dxf>
      <numFmt numFmtId="14" formatCode="0.00%"/>
    </dxf>
    <dxf>
      <numFmt numFmtId="164" formatCode="_-* #,##0\ &quot;CHF&quot;_-;\-* #,##0\ &quot;CHF&quot;_-;_-* &quot;-&quot;??\ &quot;CHF&quot;_-;_-@_-"/>
    </dxf>
    <dxf>
      <numFmt numFmtId="165" formatCode="_-* #,##0.00\ [$CHF-100C]_-;\-* #,##0.00\ [$CHF-100C]_-;_-* &quot;-&quot;??\ [$CHF-100C]_-;_-@_-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microsoft.com/office/2011/relationships/timelineCache" Target="timelineCaches/timelineCache1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microsoft.com/office/2011/relationships/timelineCache" Target="timelineCaches/timelineCache2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styles" Target="style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2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theme" Target="theme/theme1.xml"/><Relationship Id="rId41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[TCD_produits.xlsx]tcd_Segments!tcd_VentesSegments</c:name>
    <c:fmtId val="11"/>
  </c:pivotSource>
  <c:chart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tcd_Segments!$B$3:$B$4</c:f>
              <c:strCache>
                <c:ptCount val="1"/>
                <c:pt idx="0">
                  <c:v>2021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tcd_Segments!$A$5:$A$15</c:f>
              <c:strCache>
                <c:ptCount val="10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nov</c:v>
                </c:pt>
              </c:strCache>
            </c:strRef>
          </c:cat>
          <c:val>
            <c:numRef>
              <c:f>tcd_Segments!$B$5:$B$15</c:f>
              <c:numCache>
                <c:formatCode>General</c:formatCode>
                <c:ptCount val="10"/>
                <c:pt idx="0">
                  <c:v>2654</c:v>
                </c:pt>
                <c:pt idx="1">
                  <c:v>26239</c:v>
                </c:pt>
                <c:pt idx="3">
                  <c:v>5040</c:v>
                </c:pt>
                <c:pt idx="4">
                  <c:v>14357</c:v>
                </c:pt>
                <c:pt idx="5">
                  <c:v>9517</c:v>
                </c:pt>
                <c:pt idx="6">
                  <c:v>1785</c:v>
                </c:pt>
                <c:pt idx="7">
                  <c:v>10593</c:v>
                </c:pt>
                <c:pt idx="9">
                  <c:v>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A-4137-B9B5-5C4A14BCE21C}"/>
            </c:ext>
          </c:extLst>
        </c:ser>
        <c:ser>
          <c:idx val="1"/>
          <c:order val="1"/>
          <c:tx>
            <c:strRef>
              <c:f>tcd_Segments!$C$3:$C$4</c:f>
              <c:strCache>
                <c:ptCount val="1"/>
                <c:pt idx="0">
                  <c:v>2022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tcd_Segments!$A$5:$A$15</c:f>
              <c:strCache>
                <c:ptCount val="10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nov</c:v>
                </c:pt>
              </c:strCache>
            </c:strRef>
          </c:cat>
          <c:val>
            <c:numRef>
              <c:f>tcd_Segments!$C$5:$C$15</c:f>
              <c:numCache>
                <c:formatCode>General</c:formatCode>
                <c:ptCount val="10"/>
                <c:pt idx="0">
                  <c:v>9614</c:v>
                </c:pt>
                <c:pt idx="1">
                  <c:v>17910</c:v>
                </c:pt>
                <c:pt idx="2">
                  <c:v>26810</c:v>
                </c:pt>
                <c:pt idx="3">
                  <c:v>2695</c:v>
                </c:pt>
                <c:pt idx="4">
                  <c:v>6552</c:v>
                </c:pt>
                <c:pt idx="5">
                  <c:v>15840</c:v>
                </c:pt>
                <c:pt idx="6">
                  <c:v>13731</c:v>
                </c:pt>
                <c:pt idx="7">
                  <c:v>27866</c:v>
                </c:pt>
                <c:pt idx="8">
                  <c:v>10780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2A-4137-B9B5-5C4A14BCE2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29385488"/>
        <c:axId val="229381168"/>
      </c:barChart>
      <c:catAx>
        <c:axId val="2293854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81168"/>
        <c:crosses val="autoZero"/>
        <c:auto val="1"/>
        <c:lblAlgn val="ctr"/>
        <c:lblOffset val="100"/>
        <c:noMultiLvlLbl val="0"/>
      </c:catAx>
      <c:valAx>
        <c:axId val="22938116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8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[TCD_produits.xlsx]tcd_Groupesprix!tcd_prodAnnee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Marges</a:t>
            </a:r>
            <a:r>
              <a:rPr lang="en-US" baseline="0"/>
              <a:t> par groupes de prix de vente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solidFill>
              <a:schemeClr val="accent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accent2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383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384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7.8009076999832602E-2"/>
          <c:y val="3.195352214960058E-2"/>
          <c:w val="0.89030968760410989"/>
          <c:h val="0.854847981689380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tcd_Groupesprix!$B$1</c:f>
              <c:strCache>
                <c:ptCount val="1"/>
                <c:pt idx="0">
                  <c:v>Somme de Marge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2">
                  <a:lumMod val="50000"/>
                </a:schemeClr>
              </a:solidFill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accent2">
                    <a:lumMod val="50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C9C-436B-98CC-2254D4D19A1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8D1-4502-9DF2-B3AA1923F7D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8D1-4502-9DF2-B3AA1923F7DB}"/>
              </c:ext>
            </c:extLst>
          </c:dPt>
          <c:cat>
            <c:strRef>
              <c:f>tcd_Groupesprix!$A$2:$A$19</c:f>
              <c:strCache>
                <c:ptCount val="17"/>
                <c:pt idx="0">
                  <c:v>0-999</c:v>
                </c:pt>
                <c:pt idx="1">
                  <c:v>1000-1999</c:v>
                </c:pt>
                <c:pt idx="2">
                  <c:v>2000-2999</c:v>
                </c:pt>
                <c:pt idx="3">
                  <c:v>3000-3999</c:v>
                </c:pt>
                <c:pt idx="4">
                  <c:v>4000-4999</c:v>
                </c:pt>
                <c:pt idx="5">
                  <c:v>5000-5999</c:v>
                </c:pt>
                <c:pt idx="6">
                  <c:v>6000-6999</c:v>
                </c:pt>
                <c:pt idx="7">
                  <c:v>7000-7999</c:v>
                </c:pt>
                <c:pt idx="8">
                  <c:v>8000-8999</c:v>
                </c:pt>
                <c:pt idx="9">
                  <c:v>9000-9999</c:v>
                </c:pt>
                <c:pt idx="10">
                  <c:v>10000-10999</c:v>
                </c:pt>
                <c:pt idx="11">
                  <c:v>11000-11999</c:v>
                </c:pt>
                <c:pt idx="12">
                  <c:v>12000-12999</c:v>
                </c:pt>
                <c:pt idx="13">
                  <c:v>13000-13999</c:v>
                </c:pt>
                <c:pt idx="14">
                  <c:v>14000-14999</c:v>
                </c:pt>
                <c:pt idx="15">
                  <c:v>15000-15999</c:v>
                </c:pt>
                <c:pt idx="16">
                  <c:v>16000-16999</c:v>
                </c:pt>
              </c:strCache>
            </c:strRef>
          </c:cat>
          <c:val>
            <c:numRef>
              <c:f>tcd_Groupesprix!$B$2:$B$19</c:f>
              <c:numCache>
                <c:formatCode>General</c:formatCode>
                <c:ptCount val="17"/>
                <c:pt idx="0">
                  <c:v>845</c:v>
                </c:pt>
                <c:pt idx="1">
                  <c:v>9626</c:v>
                </c:pt>
                <c:pt idx="2">
                  <c:v>17028</c:v>
                </c:pt>
                <c:pt idx="3">
                  <c:v>19656</c:v>
                </c:pt>
                <c:pt idx="4">
                  <c:v>21713</c:v>
                </c:pt>
                <c:pt idx="5">
                  <c:v>26083</c:v>
                </c:pt>
                <c:pt idx="6">
                  <c:v>22411</c:v>
                </c:pt>
                <c:pt idx="7">
                  <c:v>23919</c:v>
                </c:pt>
                <c:pt idx="8">
                  <c:v>17087</c:v>
                </c:pt>
                <c:pt idx="9">
                  <c:v>18962</c:v>
                </c:pt>
                <c:pt idx="10">
                  <c:v>14963</c:v>
                </c:pt>
                <c:pt idx="11">
                  <c:v>23005</c:v>
                </c:pt>
                <c:pt idx="12">
                  <c:v>3496</c:v>
                </c:pt>
                <c:pt idx="13">
                  <c:v>19150</c:v>
                </c:pt>
                <c:pt idx="14">
                  <c:v>8022</c:v>
                </c:pt>
                <c:pt idx="15">
                  <c:v>13348</c:v>
                </c:pt>
                <c:pt idx="16">
                  <c:v>4584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C-436B-98CC-2254D4D19A19}"/>
            </c:ext>
          </c:extLst>
        </c:ser>
        <c:ser>
          <c:idx val="1"/>
          <c:order val="1"/>
          <c:tx>
            <c:strRef>
              <c:f>tcd_Groupesprix!$C$1</c:f>
              <c:strCache>
                <c:ptCount val="1"/>
                <c:pt idx="0">
                  <c:v>Marge%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tcd_Groupesprix!$A$2:$A$19</c:f>
              <c:strCache>
                <c:ptCount val="17"/>
                <c:pt idx="0">
                  <c:v>0-999</c:v>
                </c:pt>
                <c:pt idx="1">
                  <c:v>1000-1999</c:v>
                </c:pt>
                <c:pt idx="2">
                  <c:v>2000-2999</c:v>
                </c:pt>
                <c:pt idx="3">
                  <c:v>3000-3999</c:v>
                </c:pt>
                <c:pt idx="4">
                  <c:v>4000-4999</c:v>
                </c:pt>
                <c:pt idx="5">
                  <c:v>5000-5999</c:v>
                </c:pt>
                <c:pt idx="6">
                  <c:v>6000-6999</c:v>
                </c:pt>
                <c:pt idx="7">
                  <c:v>7000-7999</c:v>
                </c:pt>
                <c:pt idx="8">
                  <c:v>8000-8999</c:v>
                </c:pt>
                <c:pt idx="9">
                  <c:v>9000-9999</c:v>
                </c:pt>
                <c:pt idx="10">
                  <c:v>10000-10999</c:v>
                </c:pt>
                <c:pt idx="11">
                  <c:v>11000-11999</c:v>
                </c:pt>
                <c:pt idx="12">
                  <c:v>12000-12999</c:v>
                </c:pt>
                <c:pt idx="13">
                  <c:v>13000-13999</c:v>
                </c:pt>
                <c:pt idx="14">
                  <c:v>14000-14999</c:v>
                </c:pt>
                <c:pt idx="15">
                  <c:v>15000-15999</c:v>
                </c:pt>
                <c:pt idx="16">
                  <c:v>16000-16999</c:v>
                </c:pt>
              </c:strCache>
            </c:strRef>
          </c:cat>
          <c:val>
            <c:numRef>
              <c:f>tcd_Groupesprix!$C$2:$C$19</c:f>
              <c:numCache>
                <c:formatCode>0.00%</c:formatCode>
                <c:ptCount val="17"/>
                <c:pt idx="0">
                  <c:v>3.2019947100773785E-3</c:v>
                </c:pt>
                <c:pt idx="1">
                  <c:v>3.6476214294916973E-2</c:v>
                </c:pt>
                <c:pt idx="2">
                  <c:v>6.4524930086624382E-2</c:v>
                </c:pt>
                <c:pt idx="3">
                  <c:v>7.4483323102107632E-2</c:v>
                </c:pt>
                <c:pt idx="4">
                  <c:v>8.227800134900605E-2</c:v>
                </c:pt>
                <c:pt idx="5">
                  <c:v>9.8837429612956523E-2</c:v>
                </c:pt>
                <c:pt idx="6">
                  <c:v>8.492296265981554E-2</c:v>
                </c:pt>
                <c:pt idx="7">
                  <c:v>9.0637291680876697E-2</c:v>
                </c:pt>
                <c:pt idx="8">
                  <c:v>6.4748501314901966E-2</c:v>
                </c:pt>
                <c:pt idx="9">
                  <c:v>7.1853519162706797E-2</c:v>
                </c:pt>
                <c:pt idx="10">
                  <c:v>5.6699937096908654E-2</c:v>
                </c:pt>
                <c:pt idx="11">
                  <c:v>8.717383231400011E-2</c:v>
                </c:pt>
                <c:pt idx="12">
                  <c:v>1.3247542611160373E-2</c:v>
                </c:pt>
                <c:pt idx="13">
                  <c:v>7.2565915618913374E-2</c:v>
                </c:pt>
                <c:pt idx="14">
                  <c:v>3.03981083600482E-2</c:v>
                </c:pt>
                <c:pt idx="15">
                  <c:v>5.0580148390666088E-2</c:v>
                </c:pt>
                <c:pt idx="16">
                  <c:v>1.7370347634313256E-2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9C-436B-98CC-2254D4D19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9"/>
        <c:overlap val="100"/>
        <c:axId val="800641664"/>
        <c:axId val="747869632"/>
      </c:barChart>
      <c:catAx>
        <c:axId val="80064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7869632"/>
        <c:crosses val="autoZero"/>
        <c:auto val="1"/>
        <c:lblAlgn val="ctr"/>
        <c:lblOffset val="100"/>
        <c:noMultiLvlLbl val="0"/>
      </c:catAx>
      <c:valAx>
        <c:axId val="74786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064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[TCD_produits.xlsx]tcd_QteVarCumul!tcd_Qte</c:name>
    <c:fmtId val="1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05538298538371"/>
          <c:y val="1.7583010852296216E-2"/>
          <c:w val="0.82237904636920389"/>
          <c:h val="0.890521738209833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tcd_QteVarCumul!$C$1</c:f>
              <c:strCache>
                <c:ptCount val="1"/>
                <c:pt idx="0">
                  <c:v>Variation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1"/>
          <c:cat>
            <c:multiLvlStrRef>
              <c:f>tcd_QteVarCumul!$A$2:$A$27</c:f>
              <c:multiLvlStrCache>
                <c:ptCount val="21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tcd_QteVarCumul!$C$2:$C$27</c:f>
              <c:numCache>
                <c:formatCode>General</c:formatCode>
                <c:ptCount val="21"/>
                <c:pt idx="1">
                  <c:v>74</c:v>
                </c:pt>
                <c:pt idx="2">
                  <c:v>12</c:v>
                </c:pt>
                <c:pt idx="3">
                  <c:v>-49</c:v>
                </c:pt>
                <c:pt idx="4">
                  <c:v>24</c:v>
                </c:pt>
                <c:pt idx="5">
                  <c:v>37</c:v>
                </c:pt>
                <c:pt idx="6">
                  <c:v>-96</c:v>
                </c:pt>
                <c:pt idx="7">
                  <c:v>2</c:v>
                </c:pt>
                <c:pt idx="8">
                  <c:v>5</c:v>
                </c:pt>
                <c:pt idx="9">
                  <c:v>-24</c:v>
                </c:pt>
                <c:pt idx="10">
                  <c:v>67</c:v>
                </c:pt>
                <c:pt idx="11">
                  <c:v>-36</c:v>
                </c:pt>
                <c:pt idx="13">
                  <c:v>33</c:v>
                </c:pt>
                <c:pt idx="14">
                  <c:v>15</c:v>
                </c:pt>
                <c:pt idx="15">
                  <c:v>6</c:v>
                </c:pt>
                <c:pt idx="16">
                  <c:v>-1</c:v>
                </c:pt>
                <c:pt idx="17">
                  <c:v>-8</c:v>
                </c:pt>
                <c:pt idx="18">
                  <c:v>15</c:v>
                </c:pt>
                <c:pt idx="19">
                  <c:v>30</c:v>
                </c:pt>
                <c:pt idx="20">
                  <c:v>-143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D7D31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0197-4D1A-A95A-0A454D967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0220559"/>
        <c:axId val="1440213359"/>
      </c:barChart>
      <c:lineChart>
        <c:grouping val="standard"/>
        <c:varyColors val="0"/>
        <c:ser>
          <c:idx val="0"/>
          <c:order val="0"/>
          <c:tx>
            <c:strRef>
              <c:f>tcd_QteVarCumul!$B$1</c:f>
              <c:strCache>
                <c:ptCount val="1"/>
                <c:pt idx="0">
                  <c:v>Somme de Qté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tcd_QteVarCumul!$A$2:$A$27</c:f>
              <c:multiLvlStrCache>
                <c:ptCount val="21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tcd_QteVarCumul!$B$2:$B$27</c:f>
              <c:numCache>
                <c:formatCode>General</c:formatCode>
                <c:ptCount val="21"/>
                <c:pt idx="0">
                  <c:v>35</c:v>
                </c:pt>
                <c:pt idx="1">
                  <c:v>109</c:v>
                </c:pt>
                <c:pt idx="2">
                  <c:v>121</c:v>
                </c:pt>
                <c:pt idx="3">
                  <c:v>72</c:v>
                </c:pt>
                <c:pt idx="4">
                  <c:v>96</c:v>
                </c:pt>
                <c:pt idx="5">
                  <c:v>133</c:v>
                </c:pt>
                <c:pt idx="6">
                  <c:v>37</c:v>
                </c:pt>
                <c:pt idx="7">
                  <c:v>39</c:v>
                </c:pt>
                <c:pt idx="8">
                  <c:v>44</c:v>
                </c:pt>
                <c:pt idx="9">
                  <c:v>20</c:v>
                </c:pt>
                <c:pt idx="10">
                  <c:v>87</c:v>
                </c:pt>
                <c:pt idx="11">
                  <c:v>51</c:v>
                </c:pt>
                <c:pt idx="12">
                  <c:v>92</c:v>
                </c:pt>
                <c:pt idx="13">
                  <c:v>125</c:v>
                </c:pt>
                <c:pt idx="14">
                  <c:v>140</c:v>
                </c:pt>
                <c:pt idx="15">
                  <c:v>146</c:v>
                </c:pt>
                <c:pt idx="16">
                  <c:v>145</c:v>
                </c:pt>
                <c:pt idx="17">
                  <c:v>137</c:v>
                </c:pt>
                <c:pt idx="18">
                  <c:v>152</c:v>
                </c:pt>
                <c:pt idx="19">
                  <c:v>182</c:v>
                </c:pt>
                <c:pt idx="20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97-4D1A-A95A-0A454D967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220559"/>
        <c:axId val="1440213359"/>
      </c:lineChart>
      <c:lineChart>
        <c:grouping val="standard"/>
        <c:varyColors val="0"/>
        <c:ser>
          <c:idx val="2"/>
          <c:order val="2"/>
          <c:tx>
            <c:strRef>
              <c:f>tcd_QteVarCumul!$D$1</c:f>
              <c:strCache>
                <c:ptCount val="1"/>
                <c:pt idx="0">
                  <c:v>Cumul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tcd_QteVarCumul!$A$2:$A$27</c:f>
              <c:multiLvlStrCache>
                <c:ptCount val="21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tcd_QteVarCumul!$D$2:$D$27</c:f>
              <c:numCache>
                <c:formatCode>General</c:formatCode>
                <c:ptCount val="21"/>
                <c:pt idx="0">
                  <c:v>35</c:v>
                </c:pt>
                <c:pt idx="1">
                  <c:v>144</c:v>
                </c:pt>
                <c:pt idx="2">
                  <c:v>265</c:v>
                </c:pt>
                <c:pt idx="3">
                  <c:v>337</c:v>
                </c:pt>
                <c:pt idx="4">
                  <c:v>433</c:v>
                </c:pt>
                <c:pt idx="5">
                  <c:v>566</c:v>
                </c:pt>
                <c:pt idx="6">
                  <c:v>603</c:v>
                </c:pt>
                <c:pt idx="7">
                  <c:v>642</c:v>
                </c:pt>
                <c:pt idx="8">
                  <c:v>686</c:v>
                </c:pt>
                <c:pt idx="9">
                  <c:v>706</c:v>
                </c:pt>
                <c:pt idx="10">
                  <c:v>793</c:v>
                </c:pt>
                <c:pt idx="11">
                  <c:v>844</c:v>
                </c:pt>
                <c:pt idx="12">
                  <c:v>92</c:v>
                </c:pt>
                <c:pt idx="13">
                  <c:v>217</c:v>
                </c:pt>
                <c:pt idx="14">
                  <c:v>357</c:v>
                </c:pt>
                <c:pt idx="15">
                  <c:v>503</c:v>
                </c:pt>
                <c:pt idx="16">
                  <c:v>648</c:v>
                </c:pt>
                <c:pt idx="17">
                  <c:v>785</c:v>
                </c:pt>
                <c:pt idx="18">
                  <c:v>937</c:v>
                </c:pt>
                <c:pt idx="19">
                  <c:v>1119</c:v>
                </c:pt>
                <c:pt idx="20">
                  <c:v>1158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97-4D1A-A95A-0A454D967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053151"/>
        <c:axId val="1518052191"/>
      </c:lineChart>
      <c:catAx>
        <c:axId val="144022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213359"/>
        <c:crosses val="autoZero"/>
        <c:auto val="1"/>
        <c:lblAlgn val="ctr"/>
        <c:lblOffset val="100"/>
        <c:noMultiLvlLbl val="0"/>
      </c:catAx>
      <c:valAx>
        <c:axId val="1440213359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220559"/>
        <c:crosses val="autoZero"/>
        <c:crossBetween val="between"/>
      </c:valAx>
      <c:valAx>
        <c:axId val="151805219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053151"/>
        <c:crosses val="max"/>
        <c:crossBetween val="between"/>
      </c:valAx>
      <c:catAx>
        <c:axId val="1518053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180521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4527121609798792E-2"/>
          <c:y val="1.2404333374840761E-2"/>
          <c:w val="0.48491732283464567"/>
          <c:h val="0.16206598066829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[TCD_produits.xlsx]tcd_QteCombo!tcd_QteCombo</c:name>
    <c:fmtId val="2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pct30">
            <a:fgClr>
              <a:srgbClr val="70AD47"/>
            </a:fgClr>
            <a:bgClr>
              <a:schemeClr val="bg1"/>
            </a:bgClr>
          </a:pattFill>
          <a:ln cap="sq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AD47">
              <a:alpha val="50196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856879341732375E-2"/>
          <c:y val="2.3575858658255188E-2"/>
          <c:w val="0.89450773367937608"/>
          <c:h val="0.89091549767591316"/>
        </c:manualLayout>
      </c:layout>
      <c:areaChart>
        <c:grouping val="standard"/>
        <c:varyColors val="0"/>
        <c:ser>
          <c:idx val="0"/>
          <c:order val="0"/>
          <c:tx>
            <c:strRef>
              <c:f>tcd_QteCombo!$C$3</c:f>
              <c:strCache>
                <c:ptCount val="1"/>
                <c:pt idx="0">
                  <c:v>Total Qté</c:v>
                </c:pt>
              </c:strCache>
            </c:strRef>
          </c:tx>
          <c:spPr>
            <a:pattFill prst="pct30">
              <a:fgClr>
                <a:srgbClr val="70AD47"/>
              </a:fgClr>
              <a:bgClr>
                <a:schemeClr val="bg1"/>
              </a:bgClr>
            </a:pattFill>
            <a:ln cap="sq">
              <a:noFill/>
            </a:ln>
            <a:effectLst/>
          </c:spPr>
          <c:cat>
            <c:multiLvlStrRef>
              <c:f>tcd_QteCombo!$A$4:$B$26</c:f>
              <c:multiLvlStrCache>
                <c:ptCount val="21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tcd_QteCombo!$C$4:$C$26</c:f>
              <c:numCache>
                <c:formatCode>General</c:formatCode>
                <c:ptCount val="21"/>
                <c:pt idx="0">
                  <c:v>35</c:v>
                </c:pt>
                <c:pt idx="1">
                  <c:v>109</c:v>
                </c:pt>
                <c:pt idx="2">
                  <c:v>121</c:v>
                </c:pt>
                <c:pt idx="3">
                  <c:v>72</c:v>
                </c:pt>
                <c:pt idx="4">
                  <c:v>96</c:v>
                </c:pt>
                <c:pt idx="5">
                  <c:v>133</c:v>
                </c:pt>
                <c:pt idx="6">
                  <c:v>37</c:v>
                </c:pt>
                <c:pt idx="7">
                  <c:v>39</c:v>
                </c:pt>
                <c:pt idx="8">
                  <c:v>44</c:v>
                </c:pt>
                <c:pt idx="9">
                  <c:v>20</c:v>
                </c:pt>
                <c:pt idx="10">
                  <c:v>87</c:v>
                </c:pt>
                <c:pt idx="11">
                  <c:v>51</c:v>
                </c:pt>
                <c:pt idx="12">
                  <c:v>92</c:v>
                </c:pt>
                <c:pt idx="13">
                  <c:v>125</c:v>
                </c:pt>
                <c:pt idx="14">
                  <c:v>140</c:v>
                </c:pt>
                <c:pt idx="15">
                  <c:v>146</c:v>
                </c:pt>
                <c:pt idx="16">
                  <c:v>145</c:v>
                </c:pt>
                <c:pt idx="17">
                  <c:v>137</c:v>
                </c:pt>
                <c:pt idx="18">
                  <c:v>152</c:v>
                </c:pt>
                <c:pt idx="19">
                  <c:v>182</c:v>
                </c:pt>
                <c:pt idx="2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4-475E-B707-E3E842D70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705408"/>
        <c:axId val="826719808"/>
      </c:areaChart>
      <c:barChart>
        <c:barDir val="col"/>
        <c:grouping val="clustered"/>
        <c:varyColors val="0"/>
        <c:ser>
          <c:idx val="1"/>
          <c:order val="1"/>
          <c:tx>
            <c:strRef>
              <c:f>tcd_QteCombo!$D$3</c:f>
              <c:strCache>
                <c:ptCount val="1"/>
                <c:pt idx="0">
                  <c:v>Diff PY %</c:v>
                </c:pt>
              </c:strCache>
            </c:strRef>
          </c:tx>
          <c:spPr>
            <a:solidFill>
              <a:srgbClr val="70AD47">
                <a:alpha val="50196"/>
              </a:srgbClr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tcd_QteCombo!$A$4:$B$26</c:f>
              <c:multiLvlStrCache>
                <c:ptCount val="21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tcd_QteCombo!$D$4:$D$26</c:f>
              <c:numCache>
                <c:formatCode>0.00%</c:formatCode>
                <c:ptCount val="21"/>
                <c:pt idx="12">
                  <c:v>1.6285714285714286</c:v>
                </c:pt>
                <c:pt idx="13">
                  <c:v>0.14678899082568808</c:v>
                </c:pt>
                <c:pt idx="14">
                  <c:v>0.15702479338842976</c:v>
                </c:pt>
                <c:pt idx="15">
                  <c:v>1.0277777777777777</c:v>
                </c:pt>
                <c:pt idx="16">
                  <c:v>0.51041666666666663</c:v>
                </c:pt>
                <c:pt idx="17">
                  <c:v>3.007518796992481E-2</c:v>
                </c:pt>
                <c:pt idx="18">
                  <c:v>3.1081081081081079</c:v>
                </c:pt>
                <c:pt idx="19">
                  <c:v>3.6666666666666665</c:v>
                </c:pt>
                <c:pt idx="20">
                  <c:v>-0.11363636363636363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D7D31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DE04-475E-B707-E3E842D70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9073312"/>
        <c:axId val="1779073792"/>
      </c:barChart>
      <c:catAx>
        <c:axId val="82670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719808"/>
        <c:crosses val="autoZero"/>
        <c:auto val="1"/>
        <c:lblAlgn val="ctr"/>
        <c:lblOffset val="100"/>
        <c:noMultiLvlLbl val="0"/>
      </c:catAx>
      <c:valAx>
        <c:axId val="82671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705408"/>
        <c:crosses val="autoZero"/>
        <c:crossBetween val="between"/>
      </c:valAx>
      <c:valAx>
        <c:axId val="1779073792"/>
        <c:scaling>
          <c:orientation val="minMax"/>
          <c:max val="10"/>
          <c:min val="-0.75000000000000011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073312"/>
        <c:crosses val="max"/>
        <c:crossBetween val="between"/>
      </c:valAx>
      <c:catAx>
        <c:axId val="1779073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790737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710876483662618"/>
          <c:y val="3.0893656676431732E-2"/>
          <c:w val="0.27181605398695369"/>
          <c:h val="7.2335527165143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[TCD_produits.xlsx]tcd_VentesDiffPM!tcd_MoisTotal</c:name>
    <c:fmtId val="2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tcd_VentesDiffPM!$G$3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tcd_VentesDiffPM!$F$4:$F$16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tcd_VentesDiffPM!$G$4:$G$16</c:f>
              <c:numCache>
                <c:formatCode>_-* #,##0.00\ [$CHF-100C]_-;\-* #,##0.00\ [$CHF-100C]_-;_-* "-"??\ [$CHF-100C]_-;_-@_-</c:formatCode>
                <c:ptCount val="12"/>
                <c:pt idx="0">
                  <c:v>18201</c:v>
                </c:pt>
                <c:pt idx="1">
                  <c:v>45782</c:v>
                </c:pt>
                <c:pt idx="2">
                  <c:v>67131</c:v>
                </c:pt>
                <c:pt idx="3">
                  <c:v>28631</c:v>
                </c:pt>
                <c:pt idx="4">
                  <c:v>42383</c:v>
                </c:pt>
                <c:pt idx="5">
                  <c:v>64323</c:v>
                </c:pt>
                <c:pt idx="6">
                  <c:v>16442</c:v>
                </c:pt>
                <c:pt idx="7">
                  <c:v>19111</c:v>
                </c:pt>
                <c:pt idx="8">
                  <c:v>12664</c:v>
                </c:pt>
                <c:pt idx="9">
                  <c:v>9198</c:v>
                </c:pt>
                <c:pt idx="10">
                  <c:v>40273</c:v>
                </c:pt>
                <c:pt idx="11">
                  <c:v>21131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4-49A9-A472-05E6A3177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733056"/>
        <c:axId val="308731616"/>
      </c:barChart>
      <c:catAx>
        <c:axId val="30873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31616"/>
        <c:crosses val="autoZero"/>
        <c:auto val="1"/>
        <c:lblAlgn val="ctr"/>
        <c:lblOffset val="100"/>
        <c:noMultiLvlLbl val="0"/>
      </c:catAx>
      <c:valAx>
        <c:axId val="308731616"/>
        <c:scaling>
          <c:orientation val="minMax"/>
          <c:max val="120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3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[TCD_produits.xlsx]tcd_VentesDiffPM!tcd_Diff</c:name>
    <c:fmtId val="25"/>
  </c:pivotSource>
  <c:chart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  <c15:showDataLabelsRange val="1"/>
            </c:ext>
          </c:extLst>
        </c:dLbl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E12CCEB-F5A6-46AA-A8AB-C327F6D019F6}" type="CELLRANGE">
                  <a:rPr lang="en-US"/>
                  <a:pPr>
                    <a:defRPr sz="1050"/>
                  </a:pPr>
                  <a:t>[PLAGECELL]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solidFill>
            <a:srgbClr val="70AD47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4C0210E-3CCD-4D70-98DA-8125BFC8D553}" type="CELLRANGE">
                  <a:rPr lang="en-US"/>
                  <a:pPr>
                    <a:defRPr sz="1050"/>
                  </a:pPr>
                  <a:t>[PLAGECELL]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rgbClr val="70AD47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EAA0B8D-D0EB-4C5E-98A3-4A034F8EF8ED}" type="CELLRANGE">
                  <a:rPr lang="en-US"/>
                  <a:pPr>
                    <a:defRPr sz="1050"/>
                  </a:pPr>
                  <a:t>[PLAGECELL]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rgbClr val="70AD47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DEFA36C-7283-4226-A260-547DDAD3BCFE}" type="CELLRANGE">
                  <a:rPr lang="en-US"/>
                  <a:pPr>
                    <a:defRPr sz="1050"/>
                  </a:pPr>
                  <a:t>[PLAGECELL]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solidFill>
            <a:srgbClr val="70AD47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4B3C0D3-B010-4287-B9FA-7415B17F5CB7}" type="CELLRANGE">
                  <a:rPr lang="en-US"/>
                  <a:pPr>
                    <a:defRPr sz="1050"/>
                  </a:pPr>
                  <a:t>[PLAGECELL]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solidFill>
            <a:srgbClr val="70AD47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5BC4C2B-AC12-4CC0-8B99-05C2F65D1C58}" type="CELLRANGE">
                  <a:rPr lang="en-US"/>
                  <a:pPr>
                    <a:defRPr sz="1050"/>
                  </a:pPr>
                  <a:t>[PLAGECELL]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solidFill>
            <a:srgbClr val="70AD47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C83086D-2F37-4879-BD99-802789256968}" type="CELLRANGE">
                  <a:rPr lang="en-US"/>
                  <a:pPr>
                    <a:defRPr sz="1050"/>
                  </a:pPr>
                  <a:t>[PLAGECELL]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solidFill>
            <a:srgbClr val="70AD47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1E45D3E-93F3-44A5-A7BF-C440C887CE2F}" type="CELLRANGE">
                  <a:rPr lang="en-US"/>
                  <a:pPr>
                    <a:defRPr sz="1050"/>
                  </a:pPr>
                  <a:t>[PLAGECELL]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solidFill>
            <a:srgbClr val="70AD47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B289E9F-0707-4217-92AC-F6851A6EBDA9}" type="CELLRANGE">
                  <a:rPr lang="en-US"/>
                  <a:pPr>
                    <a:defRPr sz="1050"/>
                  </a:pPr>
                  <a:t>[PLAGECELL]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2"/>
        <c:spPr>
          <a:solidFill>
            <a:srgbClr val="70AD47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067A777-3D24-4B4A-8BA6-0D02AC06E5A4}" type="CELLRANGE">
                  <a:rPr lang="en-US"/>
                  <a:pPr>
                    <a:defRPr sz="1050"/>
                  </a:pPr>
                  <a:t>[PLAGECELL]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3"/>
        <c:spPr>
          <a:solidFill>
            <a:srgbClr val="70AD47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F1B4C89-B809-46D8-8E1E-6A218CDCDB1E}" type="CELLRANGE">
                  <a:rPr lang="en-US"/>
                  <a:pPr>
                    <a:defRPr sz="1050"/>
                  </a:pPr>
                  <a:t>[PLAGECELL]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1.9454151334492024E-2"/>
          <c:y val="3.3185367563147536E-2"/>
          <c:w val="0.98054590438950273"/>
          <c:h val="0.966814802427222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tcd_VentesDiffPM!$L$4:$L$15</c:f>
              <c:strCache>
                <c:ptCount val="1"/>
                <c:pt idx="0">
                  <c:v>DIff PM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1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673-4D65-BE42-A4A8C7AB791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E12CCEB-F5A6-46AA-A8AB-C327F6D019F6}" type="CELLRANGE">
                      <a:rPr lang="en-US"/>
                      <a:pPr/>
                      <a:t>[PLAGECELL]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673-4D65-BE42-A4A8C7AB791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4C0210E-3CCD-4D70-98DA-8125BFC8D553}" type="CELLRANGE">
                      <a:rPr lang="en-US"/>
                      <a:pPr/>
                      <a:t>[PLAGECELL]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673-4D65-BE42-A4A8C7AB791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EAA0B8D-D0EB-4C5E-98A3-4A034F8EF8ED}" type="CELLRANGE">
                      <a:rPr lang="en-US"/>
                      <a:pPr/>
                      <a:t>[PLAGECELL]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673-4D65-BE42-A4A8C7AB791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DEFA36C-7283-4226-A260-547DDAD3BCFE}" type="CELLRANGE">
                      <a:rPr lang="en-US"/>
                      <a:pPr/>
                      <a:t>[PLAGECELL]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673-4D65-BE42-A4A8C7AB791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4B3C0D3-B010-4287-B9FA-7415B17F5CB7}" type="CELLRANGE">
                      <a:rPr lang="en-US"/>
                      <a:pPr/>
                      <a:t>[PLAGECELL]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673-4D65-BE42-A4A8C7AB791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5BC4C2B-AC12-4CC0-8B99-05C2F65D1C58}" type="CELLRANGE">
                      <a:rPr lang="en-US"/>
                      <a:pPr/>
                      <a:t>[PLAGECELL]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673-4D65-BE42-A4A8C7AB791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C83086D-2F37-4879-BD99-802789256968}" type="CELLRANGE">
                      <a:rPr lang="en-US"/>
                      <a:pPr/>
                      <a:t>[PLAGECELL]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673-4D65-BE42-A4A8C7AB791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1E45D3E-93F3-44A5-A7BF-C440C887CE2F}" type="CELLRANGE">
                      <a:rPr lang="en-US"/>
                      <a:pPr/>
                      <a:t>[PLAGECELL]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673-4D65-BE42-A4A8C7AB791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B289E9F-0707-4217-92AC-F6851A6EBDA9}" type="CELLRANGE">
                      <a:rPr lang="en-US"/>
                      <a:pPr/>
                      <a:t>[PLAGECELL]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673-4D65-BE42-A4A8C7AB791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067A777-3D24-4B4A-8BA6-0D02AC06E5A4}" type="CELLRANGE">
                      <a:rPr lang="en-US"/>
                      <a:pPr/>
                      <a:t>[PLAGECELL]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673-4D65-BE42-A4A8C7AB791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F1B4C89-B809-46D8-8E1E-6A218CDCDB1E}" type="CELLRANGE">
                      <a:rPr lang="en-US"/>
                      <a:pPr/>
                      <a:t>[PLAGECELL]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673-4D65-BE42-A4A8C7AB79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tcd_VentesDiffPM!$L$4:$L$15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tcd_VentesDiffPM!$L$4:$L$15</c:f>
              <c:numCache>
                <c:formatCode>_-* #,##0\ "CHF"_-;\-* #,##0\ "CHF"_-;_-* "-"??\ "CHF"_-;_-@_-</c:formatCode>
                <c:ptCount val="12"/>
                <c:pt idx="1">
                  <c:v>27581</c:v>
                </c:pt>
                <c:pt idx="2">
                  <c:v>21349</c:v>
                </c:pt>
                <c:pt idx="3">
                  <c:v>-38500</c:v>
                </c:pt>
                <c:pt idx="4">
                  <c:v>13752</c:v>
                </c:pt>
                <c:pt idx="5">
                  <c:v>21940</c:v>
                </c:pt>
                <c:pt idx="6">
                  <c:v>-47881</c:v>
                </c:pt>
                <c:pt idx="7">
                  <c:v>2669</c:v>
                </c:pt>
                <c:pt idx="8">
                  <c:v>-6447</c:v>
                </c:pt>
                <c:pt idx="9">
                  <c:v>-3466</c:v>
                </c:pt>
                <c:pt idx="10">
                  <c:v>31075</c:v>
                </c:pt>
                <c:pt idx="11">
                  <c:v>-19142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D7D31"/>
                  </a:solidFill>
                  <a:ln>
                    <a:noFill/>
                  </a:ln>
                  <a:effectLst/>
                </c14:spPr>
              </c14:invertSolidFillFmt>
            </c:ext>
            <c:ext xmlns:c15="http://schemas.microsoft.com/office/drawing/2012/chart" uri="{02D57815-91ED-43cb-92C2-25804820EDAC}">
              <c15:datalabelsRange>
                <c15:f>tcd_VentesDiffPM!$L$4:$L$15</c15:f>
                <c15:dlblRangeCache>
                  <c:ptCount val="12"/>
                  <c:pt idx="1">
                    <c:v>151.54%</c:v>
                  </c:pt>
                  <c:pt idx="2">
                    <c:v>46.63%</c:v>
                  </c:pt>
                  <c:pt idx="3">
                    <c:v>-57.35%</c:v>
                  </c:pt>
                  <c:pt idx="4">
                    <c:v>48.03%</c:v>
                  </c:pt>
                  <c:pt idx="5">
                    <c:v>51.77%</c:v>
                  </c:pt>
                  <c:pt idx="6">
                    <c:v>-74.44%</c:v>
                  </c:pt>
                  <c:pt idx="7">
                    <c:v>16.23%</c:v>
                  </c:pt>
                  <c:pt idx="8">
                    <c:v>-33.73%</c:v>
                  </c:pt>
                  <c:pt idx="9">
                    <c:v>-27.37%</c:v>
                  </c:pt>
                  <c:pt idx="10">
                    <c:v>337.85%</c:v>
                  </c:pt>
                  <c:pt idx="11">
                    <c:v>-47.53%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673-4D65-BE42-A4A8C7AB7914}"/>
            </c:ext>
          </c:extLst>
        </c:ser>
        <c:ser>
          <c:idx val="1"/>
          <c:order val="1"/>
          <c:tx>
            <c:strRef>
              <c:f>tcd_VentesDiffPM!$L$4:$L$15</c:f>
              <c:strCache>
                <c:ptCount val="1"/>
                <c:pt idx="0">
                  <c:v>Diff PM %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tcd_VentesDiffPM!$L$4:$L$15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tcd_VentesDiffPM!$L$4:$L$15</c:f>
              <c:numCache>
                <c:formatCode>0.00%</c:formatCode>
                <c:ptCount val="12"/>
                <c:pt idx="1">
                  <c:v>1.5153562991044449</c:v>
                </c:pt>
                <c:pt idx="2">
                  <c:v>0.466318640513739</c:v>
                </c:pt>
                <c:pt idx="3">
                  <c:v>-0.57350553395599646</c:v>
                </c:pt>
                <c:pt idx="4">
                  <c:v>0.48031853585274703</c:v>
                </c:pt>
                <c:pt idx="5">
                  <c:v>0.5176603827006111</c:v>
                </c:pt>
                <c:pt idx="6">
                  <c:v>-0.74438381294404798</c:v>
                </c:pt>
                <c:pt idx="7">
                  <c:v>0.16232818391923123</c:v>
                </c:pt>
                <c:pt idx="8">
                  <c:v>-0.33734498456386375</c:v>
                </c:pt>
                <c:pt idx="9">
                  <c:v>-0.273689197725837</c:v>
                </c:pt>
                <c:pt idx="10">
                  <c:v>3.3784518373559469</c:v>
                </c:pt>
                <c:pt idx="11">
                  <c:v>-0.47530603630223722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73-4D65-BE42-A4A8C7AB7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overlap val="100"/>
        <c:axId val="2115424288"/>
        <c:axId val="2115425248"/>
      </c:barChart>
      <c:catAx>
        <c:axId val="21154242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low"/>
        <c:crossAx val="2115425248"/>
        <c:crosses val="autoZero"/>
        <c:auto val="1"/>
        <c:lblAlgn val="ctr"/>
        <c:lblOffset val="100"/>
        <c:noMultiLvlLbl val="0"/>
      </c:catAx>
      <c:valAx>
        <c:axId val="2115425248"/>
        <c:scaling>
          <c:orientation val="minMax"/>
        </c:scaling>
        <c:delete val="1"/>
        <c:axPos val="l"/>
        <c:numFmt formatCode="_-* #,##0\ &quot;CHF&quot;_-;\-* #,##0\ &quot;CHF&quot;_-;_-* &quot;-&quot;??\ &quot;CHF&quot;_-;_-@_-" sourceLinked="1"/>
        <c:majorTickMark val="none"/>
        <c:minorTickMark val="none"/>
        <c:tickLblPos val="nextTo"/>
        <c:crossAx val="211542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[TCD_produits.xlsx]tcd_Ventes!tcd_Ventes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tcd_Ventes!$C$3</c:f>
              <c:strCache>
                <c:ptCount val="1"/>
                <c:pt idx="0">
                  <c:v>Total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7030A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multiLvlStrRef>
              <c:f>tcd_Ventes!$A$4:$B$27</c:f>
              <c:multiLvlStrCache>
                <c:ptCount val="21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tcd_Ventes!$C$4:$C$27</c:f>
              <c:numCache>
                <c:formatCode>General</c:formatCode>
                <c:ptCount val="21"/>
                <c:pt idx="0">
                  <c:v>18201</c:v>
                </c:pt>
                <c:pt idx="1">
                  <c:v>45782</c:v>
                </c:pt>
                <c:pt idx="2">
                  <c:v>67131</c:v>
                </c:pt>
                <c:pt idx="3">
                  <c:v>28631</c:v>
                </c:pt>
                <c:pt idx="4">
                  <c:v>42383</c:v>
                </c:pt>
                <c:pt idx="5">
                  <c:v>64323</c:v>
                </c:pt>
                <c:pt idx="6">
                  <c:v>16442</c:v>
                </c:pt>
                <c:pt idx="7">
                  <c:v>19111</c:v>
                </c:pt>
                <c:pt idx="8">
                  <c:v>12664</c:v>
                </c:pt>
                <c:pt idx="9">
                  <c:v>9198</c:v>
                </c:pt>
                <c:pt idx="10">
                  <c:v>40273</c:v>
                </c:pt>
                <c:pt idx="11">
                  <c:v>21131</c:v>
                </c:pt>
                <c:pt idx="12">
                  <c:v>40602</c:v>
                </c:pt>
                <c:pt idx="13">
                  <c:v>58523</c:v>
                </c:pt>
                <c:pt idx="14">
                  <c:v>65712</c:v>
                </c:pt>
                <c:pt idx="15">
                  <c:v>69169</c:v>
                </c:pt>
                <c:pt idx="16">
                  <c:v>67572</c:v>
                </c:pt>
                <c:pt idx="17">
                  <c:v>64031</c:v>
                </c:pt>
                <c:pt idx="18">
                  <c:v>81432</c:v>
                </c:pt>
                <c:pt idx="19">
                  <c:v>71224</c:v>
                </c:pt>
                <c:pt idx="20">
                  <c:v>18760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9B9-4C20-AFE5-518F31548062}"/>
            </c:ext>
          </c:extLst>
        </c:ser>
        <c:ser>
          <c:idx val="1"/>
          <c:order val="1"/>
          <c:tx>
            <c:strRef>
              <c:f>tcd_Ventes!$D$3</c:f>
              <c:strCache>
                <c:ptCount val="1"/>
                <c:pt idx="0">
                  <c:v>Somme de Total Vente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multiLvlStrRef>
              <c:f>tcd_Ventes!$A$4:$B$27</c:f>
              <c:multiLvlStrCache>
                <c:ptCount val="21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tcd_Ventes!$D$4:$D$27</c:f>
              <c:numCache>
                <c:formatCode>_-* #,##0\ "CHF"_-;\-* #,##0\ "CHF"_-;_-* "-"??\ "CHF"_-;_-@_-</c:formatCode>
                <c:ptCount val="21"/>
                <c:pt idx="0">
                  <c:v>18201</c:v>
                </c:pt>
                <c:pt idx="1">
                  <c:v>45782</c:v>
                </c:pt>
                <c:pt idx="2">
                  <c:v>67131</c:v>
                </c:pt>
                <c:pt idx="3">
                  <c:v>28631</c:v>
                </c:pt>
                <c:pt idx="4">
                  <c:v>42383</c:v>
                </c:pt>
                <c:pt idx="5">
                  <c:v>64323</c:v>
                </c:pt>
                <c:pt idx="6">
                  <c:v>16442</c:v>
                </c:pt>
                <c:pt idx="7">
                  <c:v>19111</c:v>
                </c:pt>
                <c:pt idx="8">
                  <c:v>12664</c:v>
                </c:pt>
                <c:pt idx="9">
                  <c:v>9198</c:v>
                </c:pt>
                <c:pt idx="10">
                  <c:v>40273</c:v>
                </c:pt>
                <c:pt idx="11">
                  <c:v>21131</c:v>
                </c:pt>
                <c:pt idx="12">
                  <c:v>40602</c:v>
                </c:pt>
                <c:pt idx="13">
                  <c:v>58523</c:v>
                </c:pt>
                <c:pt idx="14">
                  <c:v>65712</c:v>
                </c:pt>
                <c:pt idx="15">
                  <c:v>69169</c:v>
                </c:pt>
                <c:pt idx="16">
                  <c:v>67572</c:v>
                </c:pt>
                <c:pt idx="17">
                  <c:v>64031</c:v>
                </c:pt>
                <c:pt idx="18">
                  <c:v>81432</c:v>
                </c:pt>
                <c:pt idx="19">
                  <c:v>71224</c:v>
                </c:pt>
                <c:pt idx="20">
                  <c:v>18760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B9-4C20-AFE5-518F31548062}"/>
            </c:ext>
          </c:extLst>
        </c:ser>
        <c:ser>
          <c:idx val="2"/>
          <c:order val="2"/>
          <c:tx>
            <c:strRef>
              <c:f>tcd_Ventes!$E$3</c:f>
              <c:strCache>
                <c:ptCount val="1"/>
                <c:pt idx="0">
                  <c:v>% de l'année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tcd_Ventes!$A$4:$B$27</c:f>
              <c:multiLvlStrCache>
                <c:ptCount val="21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tcd_Ventes!$E$4:$E$27</c:f>
              <c:numCache>
                <c:formatCode>0.00%</c:formatCode>
                <c:ptCount val="21"/>
                <c:pt idx="0">
                  <c:v>4.7242193786175932E-2</c:v>
                </c:pt>
                <c:pt idx="1">
                  <c:v>0.11883094972357049</c:v>
                </c:pt>
                <c:pt idx="2">
                  <c:v>0.17424403664962235</c:v>
                </c:pt>
                <c:pt idx="3">
                  <c:v>7.4314117372232466E-2</c:v>
                </c:pt>
                <c:pt idx="4">
                  <c:v>0.11000856542165235</c:v>
                </c:pt>
                <c:pt idx="5">
                  <c:v>0.1669556414981701</c:v>
                </c:pt>
                <c:pt idx="6">
                  <c:v>4.2676564487242712E-2</c:v>
                </c:pt>
                <c:pt idx="7">
                  <c:v>4.9604173696368783E-2</c:v>
                </c:pt>
                <c:pt idx="8">
                  <c:v>3.2870454486464036E-2</c:v>
                </c:pt>
                <c:pt idx="9">
                  <c:v>2.3874166169180054E-2</c:v>
                </c:pt>
                <c:pt idx="10">
                  <c:v>0.1045318867287876</c:v>
                </c:pt>
                <c:pt idx="11">
                  <c:v>5.4847249980533135E-2</c:v>
                </c:pt>
                <c:pt idx="12">
                  <c:v>7.5605418742144215E-2</c:v>
                </c:pt>
                <c:pt idx="13">
                  <c:v>0.10897630464131093</c:v>
                </c:pt>
                <c:pt idx="14">
                  <c:v>0.12236301848144872</c:v>
                </c:pt>
                <c:pt idx="15">
                  <c:v>0.12880033517992645</c:v>
                </c:pt>
                <c:pt idx="16">
                  <c:v>0.12582654438806387</c:v>
                </c:pt>
                <c:pt idx="17">
                  <c:v>0.11923281039057772</c:v>
                </c:pt>
                <c:pt idx="18">
                  <c:v>0.15163539872445417</c:v>
                </c:pt>
                <c:pt idx="19">
                  <c:v>0.13262697267352544</c:v>
                </c:pt>
                <c:pt idx="20">
                  <c:v>3.4933196778548482E-2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82-40A2-92EC-3033942F7052}"/>
            </c:ext>
          </c:extLst>
        </c:ser>
        <c:ser>
          <c:idx val="3"/>
          <c:order val="3"/>
          <c:tx>
            <c:strRef>
              <c:f>tcd_Ventes!$F$3</c:f>
              <c:strCache>
                <c:ptCount val="1"/>
                <c:pt idx="0">
                  <c:v>% du 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tcd_Ventes!$A$4:$B$27</c:f>
              <c:multiLvlStrCache>
                <c:ptCount val="21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tcd_Ventes!$F$4:$F$27</c:f>
              <c:numCache>
                <c:formatCode>0.00%</c:formatCode>
                <c:ptCount val="21"/>
                <c:pt idx="0">
                  <c:v>1.9734466737865868E-2</c:v>
                </c:pt>
                <c:pt idx="1">
                  <c:v>4.9639215218558054E-2</c:v>
                </c:pt>
                <c:pt idx="2">
                  <c:v>7.2786906575444954E-2</c:v>
                </c:pt>
                <c:pt idx="3">
                  <c:v>3.1043212854889164E-2</c:v>
                </c:pt>
                <c:pt idx="4">
                  <c:v>4.5953843401514698E-2</c:v>
                </c:pt>
                <c:pt idx="5">
                  <c:v>6.9742327563306755E-2</c:v>
                </c:pt>
                <c:pt idx="6">
                  <c:v>1.7827267848139695E-2</c:v>
                </c:pt>
                <c:pt idx="7">
                  <c:v>2.0721135862169913E-2</c:v>
                </c:pt>
                <c:pt idx="8">
                  <c:v>1.3730964604600481E-2</c:v>
                </c:pt>
                <c:pt idx="9">
                  <c:v>9.9729479179655103E-3</c:v>
                </c:pt>
                <c:pt idx="10">
                  <c:v>4.3666072135271253E-2</c:v>
                </c:pt>
                <c:pt idx="11">
                  <c:v>2.2911324467767905E-2</c:v>
                </c:pt>
                <c:pt idx="12">
                  <c:v>4.402279097251964E-2</c:v>
                </c:pt>
                <c:pt idx="13">
                  <c:v>6.345366721059964E-2</c:v>
                </c:pt>
                <c:pt idx="14">
                  <c:v>7.124835329260161E-2</c:v>
                </c:pt>
                <c:pt idx="15">
                  <c:v>7.4996611713172026E-2</c:v>
                </c:pt>
                <c:pt idx="16">
                  <c:v>7.3265061612607679E-2</c:v>
                </c:pt>
                <c:pt idx="17">
                  <c:v>6.9425726042101496E-2</c:v>
                </c:pt>
                <c:pt idx="18">
                  <c:v>8.8292791352007766E-2</c:v>
                </c:pt>
                <c:pt idx="19">
                  <c:v>7.7224749131243262E-2</c:v>
                </c:pt>
                <c:pt idx="20">
                  <c:v>2.0340563485652639E-2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89-43EB-B168-6556F6E4D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133200"/>
        <c:axId val="714543616"/>
      </c:lineChart>
      <c:catAx>
        <c:axId val="71413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4543616"/>
        <c:crosses val="autoZero"/>
        <c:auto val="1"/>
        <c:lblAlgn val="ctr"/>
        <c:lblOffset val="100"/>
        <c:noMultiLvlLbl val="0"/>
      </c:catAx>
      <c:valAx>
        <c:axId val="71454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413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[TCD_produits.xlsx]tcd_prodAnnee!tcd_prodAnnee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</c:pivotFmt>
      <c:pivotFmt>
        <c:idx val="81"/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</c:pivotFmt>
      <c:pivotFmt>
        <c:idx val="161"/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</c:pivotFmt>
      <c:pivotFmt>
        <c:idx val="269"/>
      </c:pivotFmt>
      <c:pivotFmt>
        <c:idx val="270"/>
      </c:pivotFmt>
      <c:pivotFmt>
        <c:idx val="271"/>
      </c:pivotFmt>
      <c:pivotFmt>
        <c:idx val="272"/>
      </c:pivotFmt>
      <c:pivotFmt>
        <c:idx val="273"/>
      </c:pivotFmt>
      <c:pivotFmt>
        <c:idx val="274"/>
      </c:pivotFmt>
      <c:pivotFmt>
        <c:idx val="275"/>
      </c:pivotFmt>
      <c:pivotFmt>
        <c:idx val="276"/>
      </c:pivotFmt>
      <c:pivotFmt>
        <c:idx val="277"/>
      </c:pivotFmt>
      <c:pivotFmt>
        <c:idx val="278"/>
      </c:pivotFmt>
      <c:pivotFmt>
        <c:idx val="279"/>
      </c:pivotFmt>
      <c:pivotFmt>
        <c:idx val="280"/>
      </c:pivotFmt>
      <c:pivotFmt>
        <c:idx val="281"/>
      </c:pivotFmt>
      <c:pivotFmt>
        <c:idx val="282"/>
      </c:pivotFmt>
      <c:pivotFmt>
        <c:idx val="283"/>
      </c:pivotFmt>
      <c:pivotFmt>
        <c:idx val="284"/>
      </c:pivotFmt>
      <c:pivotFmt>
        <c:idx val="285"/>
      </c:pivotFmt>
      <c:pivotFmt>
        <c:idx val="286"/>
      </c:pivotFmt>
      <c:pivotFmt>
        <c:idx val="287"/>
      </c:pivotFmt>
      <c:pivotFmt>
        <c:idx val="288"/>
      </c:pivotFmt>
      <c:pivotFmt>
        <c:idx val="289"/>
      </c:pivotFmt>
      <c:pivotFmt>
        <c:idx val="290"/>
      </c:pivotFmt>
      <c:pivotFmt>
        <c:idx val="291"/>
      </c:pivotFmt>
      <c:pivotFmt>
        <c:idx val="292"/>
      </c:pivotFmt>
      <c:pivotFmt>
        <c:idx val="293"/>
      </c:pivotFmt>
      <c:pivotFmt>
        <c:idx val="294"/>
      </c:pivotFmt>
      <c:pivotFmt>
        <c:idx val="295"/>
      </c:pivotFmt>
      <c:pivotFmt>
        <c:idx val="296"/>
      </c:pivotFmt>
      <c:pivotFmt>
        <c:idx val="297"/>
      </c:pivotFmt>
      <c:pivotFmt>
        <c:idx val="298"/>
      </c:pivotFmt>
      <c:pivotFmt>
        <c:idx val="299"/>
      </c:pivotFmt>
      <c:pivotFmt>
        <c:idx val="300"/>
      </c:pivotFmt>
      <c:pivotFmt>
        <c:idx val="301"/>
      </c:pivotFmt>
      <c:pivotFmt>
        <c:idx val="302"/>
      </c:pivotFmt>
      <c:pivotFmt>
        <c:idx val="303"/>
      </c:pivotFmt>
      <c:pivotFmt>
        <c:idx val="304"/>
      </c:pivotFmt>
      <c:pivotFmt>
        <c:idx val="305"/>
      </c:pivotFmt>
      <c:pivotFmt>
        <c:idx val="306"/>
      </c:pivotFmt>
      <c:pivotFmt>
        <c:idx val="307"/>
      </c:pivotFmt>
      <c:pivotFmt>
        <c:idx val="308"/>
      </c:pivotFmt>
      <c:pivotFmt>
        <c:idx val="309"/>
      </c:pivotFmt>
      <c:pivotFmt>
        <c:idx val="310"/>
      </c:pivotFmt>
      <c:pivotFmt>
        <c:idx val="311"/>
      </c:pivotFmt>
      <c:pivotFmt>
        <c:idx val="312"/>
      </c:pivotFmt>
      <c:pivotFmt>
        <c:idx val="313"/>
      </c:pivotFmt>
      <c:pivotFmt>
        <c:idx val="314"/>
      </c:pivotFmt>
      <c:pivotFmt>
        <c:idx val="315"/>
      </c:pivotFmt>
      <c:pivotFmt>
        <c:idx val="316"/>
      </c:pivotFmt>
      <c:pivotFmt>
        <c:idx val="317"/>
      </c:pivotFmt>
      <c:pivotFmt>
        <c:idx val="318"/>
      </c:pivotFmt>
      <c:pivotFmt>
        <c:idx val="319"/>
      </c:pivotFmt>
      <c:pivotFmt>
        <c:idx val="320"/>
      </c:pivotFmt>
      <c:pivotFmt>
        <c:idx val="321"/>
      </c:pivotFmt>
      <c:pivotFmt>
        <c:idx val="322"/>
      </c:pivotFmt>
      <c:pivotFmt>
        <c:idx val="323"/>
      </c:pivotFmt>
      <c:pivotFmt>
        <c:idx val="324"/>
      </c:pivotFmt>
      <c:pivotFmt>
        <c:idx val="325"/>
      </c:pivotFmt>
      <c:pivotFmt>
        <c:idx val="326"/>
      </c:pivotFmt>
      <c:pivotFmt>
        <c:idx val="327"/>
      </c:pivotFmt>
      <c:pivotFmt>
        <c:idx val="328"/>
      </c:pivotFmt>
      <c:pivotFmt>
        <c:idx val="329"/>
      </c:pivotFmt>
      <c:pivotFmt>
        <c:idx val="330"/>
      </c:pivotFmt>
      <c:pivotFmt>
        <c:idx val="331"/>
      </c:pivotFmt>
      <c:pivotFmt>
        <c:idx val="332"/>
      </c:pivotFmt>
      <c:pivotFmt>
        <c:idx val="333"/>
      </c:pivotFmt>
      <c:pivotFmt>
        <c:idx val="334"/>
      </c:pivotFmt>
      <c:pivotFmt>
        <c:idx val="335"/>
      </c:pivotFmt>
      <c:pivotFmt>
        <c:idx val="336"/>
      </c:pivotFmt>
      <c:pivotFmt>
        <c:idx val="337"/>
      </c:pivotFmt>
      <c:pivotFmt>
        <c:idx val="338"/>
      </c:pivotFmt>
      <c:pivotFmt>
        <c:idx val="339"/>
      </c:pivotFmt>
      <c:pivotFmt>
        <c:idx val="340"/>
      </c:pivotFmt>
      <c:pivotFmt>
        <c:idx val="341"/>
      </c:pivotFmt>
      <c:pivotFmt>
        <c:idx val="342"/>
      </c:pivotFmt>
      <c:pivotFmt>
        <c:idx val="343"/>
      </c:pivotFmt>
      <c:pivotFmt>
        <c:idx val="344"/>
      </c:pivotFmt>
      <c:pivotFmt>
        <c:idx val="345"/>
      </c:pivotFmt>
      <c:pivotFmt>
        <c:idx val="346"/>
      </c:pivotFmt>
      <c:pivotFmt>
        <c:idx val="347"/>
      </c:pivotFmt>
      <c:pivotFmt>
        <c:idx val="348"/>
      </c:pivotFmt>
      <c:pivotFmt>
        <c:idx val="349"/>
      </c:pivotFmt>
      <c:pivotFmt>
        <c:idx val="3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017664098683123E-2"/>
          <c:y val="2.3402346114483386E-2"/>
          <c:w val="0.89030968760410989"/>
          <c:h val="0.9006586268219740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tcd_prodAnnee!$B$1:$B$3</c:f>
              <c:strCache>
                <c:ptCount val="1"/>
                <c:pt idx="0">
                  <c:v>2021 - Trimestre1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tcd_prodAnnee!$A$4:$A$24</c:f>
              <c:strCache>
                <c:ptCount val="20"/>
                <c:pt idx="0">
                  <c:v>P7</c:v>
                </c:pt>
                <c:pt idx="1">
                  <c:v>P9</c:v>
                </c:pt>
                <c:pt idx="2">
                  <c:v>P10</c:v>
                </c:pt>
                <c:pt idx="3">
                  <c:v>P11</c:v>
                </c:pt>
                <c:pt idx="4">
                  <c:v>P12</c:v>
                </c:pt>
                <c:pt idx="5">
                  <c:v>P1</c:v>
                </c:pt>
                <c:pt idx="6">
                  <c:v>P2</c:v>
                </c:pt>
                <c:pt idx="7">
                  <c:v>P3</c:v>
                </c:pt>
                <c:pt idx="8">
                  <c:v>P4</c:v>
                </c:pt>
                <c:pt idx="9">
                  <c:v>P5</c:v>
                </c:pt>
                <c:pt idx="10">
                  <c:v>P6</c:v>
                </c:pt>
                <c:pt idx="11">
                  <c:v>P8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  <c:pt idx="17">
                  <c:v>P18</c:v>
                </c:pt>
                <c:pt idx="18">
                  <c:v>P19</c:v>
                </c:pt>
                <c:pt idx="19">
                  <c:v>P20</c:v>
                </c:pt>
              </c:strCache>
            </c:strRef>
          </c:cat>
          <c:val>
            <c:numRef>
              <c:f>tcd_prodAnnee!$B$4:$B$24</c:f>
              <c:numCache>
                <c:formatCode>General</c:formatCode>
                <c:ptCount val="20"/>
                <c:pt idx="0">
                  <c:v>4512</c:v>
                </c:pt>
                <c:pt idx="1">
                  <c:v>6494</c:v>
                </c:pt>
                <c:pt idx="2">
                  <c:v>4752</c:v>
                </c:pt>
                <c:pt idx="3">
                  <c:v>4671</c:v>
                </c:pt>
                <c:pt idx="4">
                  <c:v>1944</c:v>
                </c:pt>
                <c:pt idx="5">
                  <c:v>1728</c:v>
                </c:pt>
                <c:pt idx="6">
                  <c:v>819</c:v>
                </c:pt>
                <c:pt idx="7">
                  <c:v>2646</c:v>
                </c:pt>
                <c:pt idx="8">
                  <c:v>1886</c:v>
                </c:pt>
                <c:pt idx="9">
                  <c:v>4107</c:v>
                </c:pt>
                <c:pt idx="10">
                  <c:v>2550</c:v>
                </c:pt>
                <c:pt idx="11">
                  <c:v>1275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B-4968-ABC6-2AE6991481D7}"/>
            </c:ext>
          </c:extLst>
        </c:ser>
        <c:ser>
          <c:idx val="1"/>
          <c:order val="1"/>
          <c:tx>
            <c:strRef>
              <c:f>tcd_prodAnnee!$C$1:$C$3</c:f>
              <c:strCache>
                <c:ptCount val="1"/>
                <c:pt idx="0">
                  <c:v>2021 - Trimestre2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tcd_prodAnnee!$A$4:$A$24</c:f>
              <c:strCache>
                <c:ptCount val="20"/>
                <c:pt idx="0">
                  <c:v>P7</c:v>
                </c:pt>
                <c:pt idx="1">
                  <c:v>P9</c:v>
                </c:pt>
                <c:pt idx="2">
                  <c:v>P10</c:v>
                </c:pt>
                <c:pt idx="3">
                  <c:v>P11</c:v>
                </c:pt>
                <c:pt idx="4">
                  <c:v>P12</c:v>
                </c:pt>
                <c:pt idx="5">
                  <c:v>P1</c:v>
                </c:pt>
                <c:pt idx="6">
                  <c:v>P2</c:v>
                </c:pt>
                <c:pt idx="7">
                  <c:v>P3</c:v>
                </c:pt>
                <c:pt idx="8">
                  <c:v>P4</c:v>
                </c:pt>
                <c:pt idx="9">
                  <c:v>P5</c:v>
                </c:pt>
                <c:pt idx="10">
                  <c:v>P6</c:v>
                </c:pt>
                <c:pt idx="11">
                  <c:v>P8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  <c:pt idx="17">
                  <c:v>P18</c:v>
                </c:pt>
                <c:pt idx="18">
                  <c:v>P19</c:v>
                </c:pt>
                <c:pt idx="19">
                  <c:v>P20</c:v>
                </c:pt>
              </c:strCache>
            </c:strRef>
          </c:cat>
          <c:val>
            <c:numRef>
              <c:f>tcd_prodAnnee!$C$4:$C$24</c:f>
              <c:numCache>
                <c:formatCode>General</c:formatCode>
                <c:ptCount val="20"/>
                <c:pt idx="0">
                  <c:v>4324</c:v>
                </c:pt>
                <c:pt idx="1">
                  <c:v>4011</c:v>
                </c:pt>
                <c:pt idx="2">
                  <c:v>2880</c:v>
                </c:pt>
                <c:pt idx="3">
                  <c:v>3806</c:v>
                </c:pt>
                <c:pt idx="4">
                  <c:v>2268</c:v>
                </c:pt>
                <c:pt idx="5">
                  <c:v>2880</c:v>
                </c:pt>
                <c:pt idx="6">
                  <c:v>2366</c:v>
                </c:pt>
                <c:pt idx="7">
                  <c:v>1890</c:v>
                </c:pt>
                <c:pt idx="8">
                  <c:v>1640</c:v>
                </c:pt>
                <c:pt idx="9">
                  <c:v>1887</c:v>
                </c:pt>
                <c:pt idx="10">
                  <c:v>510</c:v>
                </c:pt>
                <c:pt idx="11">
                  <c:v>2040</c:v>
                </c:pt>
                <c:pt idx="12">
                  <c:v>2014</c:v>
                </c:pt>
                <c:pt idx="13">
                  <c:v>850</c:v>
                </c:pt>
                <c:pt idx="14">
                  <c:v>1068</c:v>
                </c:pt>
                <c:pt idx="15">
                  <c:v>540</c:v>
                </c:pt>
                <c:pt idx="16">
                  <c:v>1078</c:v>
                </c:pt>
                <c:pt idx="17">
                  <c:v>378</c:v>
                </c:pt>
                <c:pt idx="18">
                  <c:v>2128</c:v>
                </c:pt>
                <c:pt idx="19">
                  <c:v>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C0BA-4F1A-8654-3ECA73E1498B}"/>
            </c:ext>
          </c:extLst>
        </c:ser>
        <c:ser>
          <c:idx val="2"/>
          <c:order val="2"/>
          <c:tx>
            <c:strRef>
              <c:f>tcd_prodAnnee!$D$1:$D$3</c:f>
              <c:strCache>
                <c:ptCount val="1"/>
                <c:pt idx="0">
                  <c:v>2021 - Trimestre3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tcd_prodAnnee!$A$4:$A$24</c:f>
              <c:strCache>
                <c:ptCount val="20"/>
                <c:pt idx="0">
                  <c:v>P7</c:v>
                </c:pt>
                <c:pt idx="1">
                  <c:v>P9</c:v>
                </c:pt>
                <c:pt idx="2">
                  <c:v>P10</c:v>
                </c:pt>
                <c:pt idx="3">
                  <c:v>P11</c:v>
                </c:pt>
                <c:pt idx="4">
                  <c:v>P12</c:v>
                </c:pt>
                <c:pt idx="5">
                  <c:v>P1</c:v>
                </c:pt>
                <c:pt idx="6">
                  <c:v>P2</c:v>
                </c:pt>
                <c:pt idx="7">
                  <c:v>P3</c:v>
                </c:pt>
                <c:pt idx="8">
                  <c:v>P4</c:v>
                </c:pt>
                <c:pt idx="9">
                  <c:v>P5</c:v>
                </c:pt>
                <c:pt idx="10">
                  <c:v>P6</c:v>
                </c:pt>
                <c:pt idx="11">
                  <c:v>P8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  <c:pt idx="17">
                  <c:v>P18</c:v>
                </c:pt>
                <c:pt idx="18">
                  <c:v>P19</c:v>
                </c:pt>
                <c:pt idx="19">
                  <c:v>P20</c:v>
                </c:pt>
              </c:strCache>
            </c:strRef>
          </c:cat>
          <c:val>
            <c:numRef>
              <c:f>tcd_prodAnnee!$D$4:$D$24</c:f>
              <c:numCache>
                <c:formatCode>General</c:formatCode>
                <c:ptCount val="20"/>
                <c:pt idx="0">
                  <c:v>564</c:v>
                </c:pt>
                <c:pt idx="1">
                  <c:v>573</c:v>
                </c:pt>
                <c:pt idx="2">
                  <c:v>720</c:v>
                </c:pt>
                <c:pt idx="3">
                  <c:v>2076</c:v>
                </c:pt>
                <c:pt idx="10">
                  <c:v>510</c:v>
                </c:pt>
                <c:pt idx="11">
                  <c:v>765</c:v>
                </c:pt>
                <c:pt idx="12">
                  <c:v>636</c:v>
                </c:pt>
                <c:pt idx="13">
                  <c:v>850</c:v>
                </c:pt>
                <c:pt idx="14">
                  <c:v>712</c:v>
                </c:pt>
                <c:pt idx="15">
                  <c:v>756</c:v>
                </c:pt>
                <c:pt idx="16">
                  <c:v>3080</c:v>
                </c:pt>
                <c:pt idx="17">
                  <c:v>1176</c:v>
                </c:pt>
                <c:pt idx="18">
                  <c:v>1216</c:v>
                </c:pt>
                <c:pt idx="1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6-C0BA-4F1A-8654-3ECA73E1498B}"/>
            </c:ext>
          </c:extLst>
        </c:ser>
        <c:ser>
          <c:idx val="3"/>
          <c:order val="3"/>
          <c:tx>
            <c:strRef>
              <c:f>tcd_prodAnnee!$E$1:$E$3</c:f>
              <c:strCache>
                <c:ptCount val="1"/>
                <c:pt idx="0">
                  <c:v>2021 - Trimestre4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tcd_prodAnnee!$A$4:$A$24</c:f>
              <c:strCache>
                <c:ptCount val="20"/>
                <c:pt idx="0">
                  <c:v>P7</c:v>
                </c:pt>
                <c:pt idx="1">
                  <c:v>P9</c:v>
                </c:pt>
                <c:pt idx="2">
                  <c:v>P10</c:v>
                </c:pt>
                <c:pt idx="3">
                  <c:v>P11</c:v>
                </c:pt>
                <c:pt idx="4">
                  <c:v>P12</c:v>
                </c:pt>
                <c:pt idx="5">
                  <c:v>P1</c:v>
                </c:pt>
                <c:pt idx="6">
                  <c:v>P2</c:v>
                </c:pt>
                <c:pt idx="7">
                  <c:v>P3</c:v>
                </c:pt>
                <c:pt idx="8">
                  <c:v>P4</c:v>
                </c:pt>
                <c:pt idx="9">
                  <c:v>P5</c:v>
                </c:pt>
                <c:pt idx="10">
                  <c:v>P6</c:v>
                </c:pt>
                <c:pt idx="11">
                  <c:v>P8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  <c:pt idx="17">
                  <c:v>P18</c:v>
                </c:pt>
                <c:pt idx="18">
                  <c:v>P19</c:v>
                </c:pt>
                <c:pt idx="19">
                  <c:v>P20</c:v>
                </c:pt>
              </c:strCache>
            </c:strRef>
          </c:cat>
          <c:val>
            <c:numRef>
              <c:f>tcd_prodAnnee!$E$4:$E$24</c:f>
              <c:numCache>
                <c:formatCode>General</c:formatCode>
                <c:ptCount val="20"/>
                <c:pt idx="4">
                  <c:v>7128</c:v>
                </c:pt>
                <c:pt idx="12">
                  <c:v>2226</c:v>
                </c:pt>
                <c:pt idx="13">
                  <c:v>3400</c:v>
                </c:pt>
                <c:pt idx="14">
                  <c:v>1958</c:v>
                </c:pt>
                <c:pt idx="15">
                  <c:v>1512</c:v>
                </c:pt>
                <c:pt idx="16">
                  <c:v>770</c:v>
                </c:pt>
                <c:pt idx="17">
                  <c:v>504</c:v>
                </c:pt>
                <c:pt idx="18">
                  <c:v>1064</c:v>
                </c:pt>
                <c:pt idx="19">
                  <c:v>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C0BA-4F1A-8654-3ECA73E1498B}"/>
            </c:ext>
          </c:extLst>
        </c:ser>
        <c:ser>
          <c:idx val="4"/>
          <c:order val="4"/>
          <c:tx>
            <c:strRef>
              <c:f>tcd_prodAnnee!$G$1:$G$3</c:f>
              <c:strCache>
                <c:ptCount val="1"/>
                <c:pt idx="0">
                  <c:v>2022 - Trimestre1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tcd_prodAnnee!$A$4:$A$24</c:f>
              <c:strCache>
                <c:ptCount val="20"/>
                <c:pt idx="0">
                  <c:v>P7</c:v>
                </c:pt>
                <c:pt idx="1">
                  <c:v>P9</c:v>
                </c:pt>
                <c:pt idx="2">
                  <c:v>P10</c:v>
                </c:pt>
                <c:pt idx="3">
                  <c:v>P11</c:v>
                </c:pt>
                <c:pt idx="4">
                  <c:v>P12</c:v>
                </c:pt>
                <c:pt idx="5">
                  <c:v>P1</c:v>
                </c:pt>
                <c:pt idx="6">
                  <c:v>P2</c:v>
                </c:pt>
                <c:pt idx="7">
                  <c:v>P3</c:v>
                </c:pt>
                <c:pt idx="8">
                  <c:v>P4</c:v>
                </c:pt>
                <c:pt idx="9">
                  <c:v>P5</c:v>
                </c:pt>
                <c:pt idx="10">
                  <c:v>P6</c:v>
                </c:pt>
                <c:pt idx="11">
                  <c:v>P8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  <c:pt idx="17">
                  <c:v>P18</c:v>
                </c:pt>
                <c:pt idx="18">
                  <c:v>P19</c:v>
                </c:pt>
                <c:pt idx="19">
                  <c:v>P20</c:v>
                </c:pt>
              </c:strCache>
            </c:strRef>
          </c:cat>
          <c:val>
            <c:numRef>
              <c:f>tcd_prodAnnee!$G$4:$G$24</c:f>
              <c:numCache>
                <c:formatCode>General</c:formatCode>
                <c:ptCount val="20"/>
                <c:pt idx="0">
                  <c:v>3196</c:v>
                </c:pt>
                <c:pt idx="1">
                  <c:v>1910</c:v>
                </c:pt>
                <c:pt idx="2">
                  <c:v>5472</c:v>
                </c:pt>
                <c:pt idx="3">
                  <c:v>4844</c:v>
                </c:pt>
                <c:pt idx="4">
                  <c:v>2592</c:v>
                </c:pt>
                <c:pt idx="5">
                  <c:v>2736</c:v>
                </c:pt>
                <c:pt idx="6">
                  <c:v>910</c:v>
                </c:pt>
                <c:pt idx="7">
                  <c:v>1512</c:v>
                </c:pt>
                <c:pt idx="8">
                  <c:v>1722</c:v>
                </c:pt>
                <c:pt idx="9">
                  <c:v>1443</c:v>
                </c:pt>
                <c:pt idx="10">
                  <c:v>510</c:v>
                </c:pt>
                <c:pt idx="11">
                  <c:v>1615</c:v>
                </c:pt>
                <c:pt idx="12">
                  <c:v>1696</c:v>
                </c:pt>
                <c:pt idx="13">
                  <c:v>4420</c:v>
                </c:pt>
                <c:pt idx="14">
                  <c:v>1869</c:v>
                </c:pt>
                <c:pt idx="15">
                  <c:v>1404</c:v>
                </c:pt>
                <c:pt idx="16">
                  <c:v>770</c:v>
                </c:pt>
                <c:pt idx="17">
                  <c:v>630</c:v>
                </c:pt>
                <c:pt idx="18">
                  <c:v>4256</c:v>
                </c:pt>
                <c:pt idx="19">
                  <c:v>3480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8-C0BA-4F1A-8654-3ECA73E1498B}"/>
            </c:ext>
          </c:extLst>
        </c:ser>
        <c:ser>
          <c:idx val="5"/>
          <c:order val="5"/>
          <c:tx>
            <c:strRef>
              <c:f>tcd_prodAnnee!$H$1:$H$3</c:f>
              <c:strCache>
                <c:ptCount val="1"/>
                <c:pt idx="0">
                  <c:v>2022 - Trimestre2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tcd_prodAnnee!$A$4:$A$24</c:f>
              <c:strCache>
                <c:ptCount val="20"/>
                <c:pt idx="0">
                  <c:v>P7</c:v>
                </c:pt>
                <c:pt idx="1">
                  <c:v>P9</c:v>
                </c:pt>
                <c:pt idx="2">
                  <c:v>P10</c:v>
                </c:pt>
                <c:pt idx="3">
                  <c:v>P11</c:v>
                </c:pt>
                <c:pt idx="4">
                  <c:v>P12</c:v>
                </c:pt>
                <c:pt idx="5">
                  <c:v>P1</c:v>
                </c:pt>
                <c:pt idx="6">
                  <c:v>P2</c:v>
                </c:pt>
                <c:pt idx="7">
                  <c:v>P3</c:v>
                </c:pt>
                <c:pt idx="8">
                  <c:v>P4</c:v>
                </c:pt>
                <c:pt idx="9">
                  <c:v>P5</c:v>
                </c:pt>
                <c:pt idx="10">
                  <c:v>P6</c:v>
                </c:pt>
                <c:pt idx="11">
                  <c:v>P8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  <c:pt idx="17">
                  <c:v>P18</c:v>
                </c:pt>
                <c:pt idx="18">
                  <c:v>P19</c:v>
                </c:pt>
                <c:pt idx="19">
                  <c:v>P20</c:v>
                </c:pt>
              </c:strCache>
            </c:strRef>
          </c:cat>
          <c:val>
            <c:numRef>
              <c:f>tcd_prodAnnee!$H$4:$H$24</c:f>
              <c:numCache>
                <c:formatCode>General</c:formatCode>
                <c:ptCount val="20"/>
                <c:pt idx="0">
                  <c:v>9024</c:v>
                </c:pt>
                <c:pt idx="1">
                  <c:v>7831</c:v>
                </c:pt>
                <c:pt idx="2">
                  <c:v>3168</c:v>
                </c:pt>
                <c:pt idx="3">
                  <c:v>1730</c:v>
                </c:pt>
                <c:pt idx="4">
                  <c:v>3078</c:v>
                </c:pt>
                <c:pt idx="5">
                  <c:v>4608</c:v>
                </c:pt>
                <c:pt idx="6">
                  <c:v>1729</c:v>
                </c:pt>
                <c:pt idx="7">
                  <c:v>4914</c:v>
                </c:pt>
                <c:pt idx="8">
                  <c:v>2296</c:v>
                </c:pt>
                <c:pt idx="9">
                  <c:v>1887</c:v>
                </c:pt>
                <c:pt idx="10">
                  <c:v>3570</c:v>
                </c:pt>
                <c:pt idx="11">
                  <c:v>2465</c:v>
                </c:pt>
                <c:pt idx="12">
                  <c:v>1484</c:v>
                </c:pt>
                <c:pt idx="13">
                  <c:v>1360</c:v>
                </c:pt>
                <c:pt idx="14">
                  <c:v>1424</c:v>
                </c:pt>
                <c:pt idx="15">
                  <c:v>1512</c:v>
                </c:pt>
                <c:pt idx="16">
                  <c:v>770</c:v>
                </c:pt>
                <c:pt idx="17">
                  <c:v>672</c:v>
                </c:pt>
                <c:pt idx="18">
                  <c:v>1216</c:v>
                </c:pt>
                <c:pt idx="19">
                  <c:v>2520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C0BA-4F1A-8654-3ECA73E1498B}"/>
            </c:ext>
          </c:extLst>
        </c:ser>
        <c:ser>
          <c:idx val="6"/>
          <c:order val="6"/>
          <c:tx>
            <c:strRef>
              <c:f>tcd_prodAnnee!$I$1:$I$3</c:f>
              <c:strCache>
                <c:ptCount val="1"/>
                <c:pt idx="0">
                  <c:v>2022 - Trimestre3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tcd_prodAnnee!$A$4:$A$24</c:f>
              <c:strCache>
                <c:ptCount val="20"/>
                <c:pt idx="0">
                  <c:v>P7</c:v>
                </c:pt>
                <c:pt idx="1">
                  <c:v>P9</c:v>
                </c:pt>
                <c:pt idx="2">
                  <c:v>P10</c:v>
                </c:pt>
                <c:pt idx="3">
                  <c:v>P11</c:v>
                </c:pt>
                <c:pt idx="4">
                  <c:v>P12</c:v>
                </c:pt>
                <c:pt idx="5">
                  <c:v>P1</c:v>
                </c:pt>
                <c:pt idx="6">
                  <c:v>P2</c:v>
                </c:pt>
                <c:pt idx="7">
                  <c:v>P3</c:v>
                </c:pt>
                <c:pt idx="8">
                  <c:v>P4</c:v>
                </c:pt>
                <c:pt idx="9">
                  <c:v>P5</c:v>
                </c:pt>
                <c:pt idx="10">
                  <c:v>P6</c:v>
                </c:pt>
                <c:pt idx="11">
                  <c:v>P8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  <c:pt idx="17">
                  <c:v>P18</c:v>
                </c:pt>
                <c:pt idx="18">
                  <c:v>P19</c:v>
                </c:pt>
                <c:pt idx="19">
                  <c:v>P20</c:v>
                </c:pt>
              </c:strCache>
            </c:strRef>
          </c:cat>
          <c:val>
            <c:numRef>
              <c:f>tcd_prodAnnee!$I$4:$I$24</c:f>
              <c:numCache>
                <c:formatCode>General</c:formatCode>
                <c:ptCount val="20"/>
                <c:pt idx="0">
                  <c:v>2632</c:v>
                </c:pt>
                <c:pt idx="1">
                  <c:v>2865</c:v>
                </c:pt>
                <c:pt idx="2">
                  <c:v>5184</c:v>
                </c:pt>
                <c:pt idx="3">
                  <c:v>4152</c:v>
                </c:pt>
                <c:pt idx="4">
                  <c:v>4860</c:v>
                </c:pt>
                <c:pt idx="11">
                  <c:v>680</c:v>
                </c:pt>
                <c:pt idx="12">
                  <c:v>5088</c:v>
                </c:pt>
                <c:pt idx="13">
                  <c:v>5270</c:v>
                </c:pt>
                <c:pt idx="14">
                  <c:v>2848</c:v>
                </c:pt>
                <c:pt idx="15">
                  <c:v>3672</c:v>
                </c:pt>
                <c:pt idx="16">
                  <c:v>5390</c:v>
                </c:pt>
                <c:pt idx="17">
                  <c:v>1218</c:v>
                </c:pt>
                <c:pt idx="18">
                  <c:v>2736</c:v>
                </c:pt>
                <c:pt idx="19">
                  <c:v>2280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A-C0BA-4F1A-8654-3ECA73E14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0641664"/>
        <c:axId val="747869632"/>
      </c:barChart>
      <c:catAx>
        <c:axId val="8006416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7869632"/>
        <c:crosses val="autoZero"/>
        <c:auto val="1"/>
        <c:lblAlgn val="ctr"/>
        <c:lblOffset val="100"/>
        <c:noMultiLvlLbl val="0"/>
      </c:catAx>
      <c:valAx>
        <c:axId val="7478696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064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113620516657876"/>
          <c:y val="0.63763108923792"/>
          <c:w val="0.36551986077334286"/>
          <c:h val="0.34756545953554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[TCD_produits.xlsx]tcd_MargeCanalLivraison!tcd_LivraisonCanal</c:name>
    <c:fmtId val="5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</c:pivotFmt>
      <c:pivotFmt>
        <c:idx val="81"/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</c:pivotFmt>
      <c:pivotFmt>
        <c:idx val="161"/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</c:pivotFmt>
      <c:pivotFmt>
        <c:idx val="269"/>
      </c:pivotFmt>
      <c:pivotFmt>
        <c:idx val="270"/>
      </c:pivotFmt>
      <c:pivotFmt>
        <c:idx val="271"/>
      </c:pivotFmt>
      <c:pivotFmt>
        <c:idx val="272"/>
      </c:pivotFmt>
      <c:pivotFmt>
        <c:idx val="273"/>
      </c:pivotFmt>
      <c:pivotFmt>
        <c:idx val="274"/>
      </c:pivotFmt>
      <c:pivotFmt>
        <c:idx val="275"/>
      </c:pivotFmt>
      <c:pivotFmt>
        <c:idx val="276"/>
      </c:pivotFmt>
      <c:pivotFmt>
        <c:idx val="277"/>
      </c:pivotFmt>
      <c:pivotFmt>
        <c:idx val="278"/>
      </c:pivotFmt>
      <c:pivotFmt>
        <c:idx val="279"/>
      </c:pivotFmt>
      <c:pivotFmt>
        <c:idx val="280"/>
      </c:pivotFmt>
      <c:pivotFmt>
        <c:idx val="281"/>
      </c:pivotFmt>
      <c:pivotFmt>
        <c:idx val="282"/>
      </c:pivotFmt>
      <c:pivotFmt>
        <c:idx val="283"/>
      </c:pivotFmt>
      <c:pivotFmt>
        <c:idx val="284"/>
      </c:pivotFmt>
      <c:pivotFmt>
        <c:idx val="285"/>
      </c:pivotFmt>
      <c:pivotFmt>
        <c:idx val="286"/>
      </c:pivotFmt>
      <c:pivotFmt>
        <c:idx val="287"/>
      </c:pivotFmt>
      <c:pivotFmt>
        <c:idx val="288"/>
      </c:pivotFmt>
      <c:pivotFmt>
        <c:idx val="289"/>
      </c:pivotFmt>
      <c:pivotFmt>
        <c:idx val="290"/>
      </c:pivotFmt>
      <c:pivotFmt>
        <c:idx val="291"/>
      </c:pivotFmt>
      <c:pivotFmt>
        <c:idx val="292"/>
      </c:pivotFmt>
      <c:pivotFmt>
        <c:idx val="293"/>
      </c:pivotFmt>
      <c:pivotFmt>
        <c:idx val="294"/>
      </c:pivotFmt>
      <c:pivotFmt>
        <c:idx val="295"/>
      </c:pivotFmt>
      <c:pivotFmt>
        <c:idx val="296"/>
      </c:pivotFmt>
      <c:pivotFmt>
        <c:idx val="297"/>
      </c:pivotFmt>
      <c:pivotFmt>
        <c:idx val="298"/>
      </c:pivotFmt>
      <c:pivotFmt>
        <c:idx val="299"/>
      </c:pivotFmt>
      <c:pivotFmt>
        <c:idx val="300"/>
      </c:pivotFmt>
      <c:pivotFmt>
        <c:idx val="301"/>
      </c:pivotFmt>
      <c:pivotFmt>
        <c:idx val="302"/>
      </c:pivotFmt>
      <c:pivotFmt>
        <c:idx val="303"/>
      </c:pivotFmt>
      <c:pivotFmt>
        <c:idx val="304"/>
      </c:pivotFmt>
      <c:pivotFmt>
        <c:idx val="305"/>
      </c:pivotFmt>
      <c:pivotFmt>
        <c:idx val="306"/>
      </c:pivotFmt>
      <c:pivotFmt>
        <c:idx val="307"/>
      </c:pivotFmt>
      <c:pivotFmt>
        <c:idx val="308"/>
      </c:pivotFmt>
      <c:pivotFmt>
        <c:idx val="309"/>
      </c:pivotFmt>
      <c:pivotFmt>
        <c:idx val="310"/>
      </c:pivotFmt>
      <c:pivotFmt>
        <c:idx val="311"/>
      </c:pivotFmt>
      <c:pivotFmt>
        <c:idx val="312"/>
      </c:pivotFmt>
      <c:pivotFmt>
        <c:idx val="313"/>
      </c:pivotFmt>
      <c:pivotFmt>
        <c:idx val="314"/>
      </c:pivotFmt>
      <c:pivotFmt>
        <c:idx val="315"/>
      </c:pivotFmt>
      <c:pivotFmt>
        <c:idx val="316"/>
      </c:pivotFmt>
      <c:pivotFmt>
        <c:idx val="317"/>
      </c:pivotFmt>
      <c:pivotFmt>
        <c:idx val="318"/>
      </c:pivotFmt>
      <c:pivotFmt>
        <c:idx val="319"/>
      </c:pivotFmt>
      <c:pivotFmt>
        <c:idx val="320"/>
      </c:pivotFmt>
      <c:pivotFmt>
        <c:idx val="321"/>
      </c:pivotFmt>
      <c:pivotFmt>
        <c:idx val="322"/>
      </c:pivotFmt>
      <c:pivotFmt>
        <c:idx val="323"/>
      </c:pivotFmt>
      <c:pivotFmt>
        <c:idx val="324"/>
      </c:pivotFmt>
      <c:pivotFmt>
        <c:idx val="325"/>
      </c:pivotFmt>
      <c:pivotFmt>
        <c:idx val="326"/>
      </c:pivotFmt>
      <c:pivotFmt>
        <c:idx val="327"/>
      </c:pivotFmt>
      <c:pivotFmt>
        <c:idx val="328"/>
      </c:pivotFmt>
      <c:pivotFmt>
        <c:idx val="329"/>
      </c:pivotFmt>
      <c:pivotFmt>
        <c:idx val="330"/>
      </c:pivotFmt>
      <c:pivotFmt>
        <c:idx val="331"/>
      </c:pivotFmt>
      <c:pivotFmt>
        <c:idx val="332"/>
      </c:pivotFmt>
      <c:pivotFmt>
        <c:idx val="333"/>
      </c:pivotFmt>
      <c:pivotFmt>
        <c:idx val="334"/>
      </c:pivotFmt>
      <c:pivotFmt>
        <c:idx val="335"/>
      </c:pivotFmt>
      <c:pivotFmt>
        <c:idx val="336"/>
      </c:pivotFmt>
      <c:pivotFmt>
        <c:idx val="337"/>
      </c:pivotFmt>
      <c:pivotFmt>
        <c:idx val="338"/>
      </c:pivotFmt>
      <c:pivotFmt>
        <c:idx val="339"/>
      </c:pivotFmt>
      <c:pivotFmt>
        <c:idx val="340"/>
      </c:pivotFmt>
      <c:pivotFmt>
        <c:idx val="341"/>
      </c:pivotFmt>
      <c:pivotFmt>
        <c:idx val="342"/>
      </c:pivotFmt>
      <c:pivotFmt>
        <c:idx val="343"/>
      </c:pivotFmt>
      <c:pivotFmt>
        <c:idx val="344"/>
      </c:pivotFmt>
      <c:pivotFmt>
        <c:idx val="345"/>
      </c:pivotFmt>
      <c:pivotFmt>
        <c:idx val="346"/>
      </c:pivotFmt>
      <c:pivotFmt>
        <c:idx val="347"/>
      </c:pivotFmt>
      <c:pivotFmt>
        <c:idx val="348"/>
      </c:pivotFmt>
      <c:pivotFmt>
        <c:idx val="349"/>
      </c:pivotFmt>
      <c:pivotFmt>
        <c:idx val="3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017664098683123E-2"/>
          <c:y val="2.3402346114483386E-2"/>
          <c:w val="0.89030968760410989"/>
          <c:h val="0.9006586268219740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tcd_MargeCanalLivraison!$B$1:$B$2</c:f>
              <c:strCache>
                <c:ptCount val="1"/>
                <c:pt idx="0">
                  <c:v>Commercial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tcd_MargeCanalLivraison!$A$3:$A$8</c:f>
              <c:strCache>
                <c:ptCount val="5"/>
                <c:pt idx="0">
                  <c:v>Frêt avion</c:v>
                </c:pt>
                <c:pt idx="1">
                  <c:v>Poste express</c:v>
                </c:pt>
                <c:pt idx="2">
                  <c:v>Poste normal</c:v>
                </c:pt>
                <c:pt idx="3">
                  <c:v>Retrait</c:v>
                </c:pt>
                <c:pt idx="4">
                  <c:v>Revendeur2</c:v>
                </c:pt>
              </c:strCache>
            </c:strRef>
          </c:cat>
          <c:val>
            <c:numRef>
              <c:f>tcd_MargeCanalLivraison!$B$3:$B$8</c:f>
              <c:numCache>
                <c:formatCode>General</c:formatCode>
                <c:ptCount val="5"/>
                <c:pt idx="0">
                  <c:v>12776</c:v>
                </c:pt>
                <c:pt idx="1">
                  <c:v>9323</c:v>
                </c:pt>
                <c:pt idx="2">
                  <c:v>10967</c:v>
                </c:pt>
                <c:pt idx="3">
                  <c:v>14171</c:v>
                </c:pt>
                <c:pt idx="4">
                  <c:v>14415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A-46A9-B1A8-C4FBBAAF5BD5}"/>
            </c:ext>
          </c:extLst>
        </c:ser>
        <c:ser>
          <c:idx val="1"/>
          <c:order val="1"/>
          <c:tx>
            <c:strRef>
              <c:f>tcd_MargeCanalLivraison!$C$1:$C$2</c:f>
              <c:strCache>
                <c:ptCount val="1"/>
                <c:pt idx="0">
                  <c:v>Internet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tcd_MargeCanalLivraison!$A$3:$A$8</c:f>
              <c:strCache>
                <c:ptCount val="5"/>
                <c:pt idx="0">
                  <c:v>Frêt avion</c:v>
                </c:pt>
                <c:pt idx="1">
                  <c:v>Poste express</c:v>
                </c:pt>
                <c:pt idx="2">
                  <c:v>Poste normal</c:v>
                </c:pt>
                <c:pt idx="3">
                  <c:v>Retrait</c:v>
                </c:pt>
                <c:pt idx="4">
                  <c:v>Revendeur2</c:v>
                </c:pt>
              </c:strCache>
            </c:strRef>
          </c:cat>
          <c:val>
            <c:numRef>
              <c:f>tcd_MargeCanalLivraison!$C$3:$C$8</c:f>
              <c:numCache>
                <c:formatCode>General</c:formatCode>
                <c:ptCount val="5"/>
                <c:pt idx="0">
                  <c:v>7340</c:v>
                </c:pt>
                <c:pt idx="1">
                  <c:v>10582</c:v>
                </c:pt>
                <c:pt idx="2">
                  <c:v>12897</c:v>
                </c:pt>
                <c:pt idx="3">
                  <c:v>14662</c:v>
                </c:pt>
                <c:pt idx="4">
                  <c:v>23518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3B-46F7-A32A-899578E75847}"/>
            </c:ext>
          </c:extLst>
        </c:ser>
        <c:ser>
          <c:idx val="2"/>
          <c:order val="2"/>
          <c:tx>
            <c:strRef>
              <c:f>tcd_MargeCanalLivraison!$D$1:$D$2</c:f>
              <c:strCache>
                <c:ptCount val="1"/>
                <c:pt idx="0">
                  <c:v>Magasin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tcd_MargeCanalLivraison!$A$3:$A$8</c:f>
              <c:strCache>
                <c:ptCount val="5"/>
                <c:pt idx="0">
                  <c:v>Frêt avion</c:v>
                </c:pt>
                <c:pt idx="1">
                  <c:v>Poste express</c:v>
                </c:pt>
                <c:pt idx="2">
                  <c:v>Poste normal</c:v>
                </c:pt>
                <c:pt idx="3">
                  <c:v>Retrait</c:v>
                </c:pt>
                <c:pt idx="4">
                  <c:v>Revendeur2</c:v>
                </c:pt>
              </c:strCache>
            </c:strRef>
          </c:cat>
          <c:val>
            <c:numRef>
              <c:f>tcd_MargeCanalLivraison!$D$3:$D$8</c:f>
              <c:numCache>
                <c:formatCode>General</c:formatCode>
                <c:ptCount val="5"/>
                <c:pt idx="0">
                  <c:v>9910</c:v>
                </c:pt>
                <c:pt idx="1">
                  <c:v>21274</c:v>
                </c:pt>
                <c:pt idx="2">
                  <c:v>10854</c:v>
                </c:pt>
                <c:pt idx="3">
                  <c:v>8644</c:v>
                </c:pt>
                <c:pt idx="4">
                  <c:v>22098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3B-46F7-A32A-899578E75847}"/>
            </c:ext>
          </c:extLst>
        </c:ser>
        <c:ser>
          <c:idx val="3"/>
          <c:order val="3"/>
          <c:tx>
            <c:strRef>
              <c:f>tcd_MargeCanalLivraison!$E$1:$E$2</c:f>
              <c:strCache>
                <c:ptCount val="1"/>
                <c:pt idx="0">
                  <c:v>Téléphone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tcd_MargeCanalLivraison!$A$3:$A$8</c:f>
              <c:strCache>
                <c:ptCount val="5"/>
                <c:pt idx="0">
                  <c:v>Frêt avion</c:v>
                </c:pt>
                <c:pt idx="1">
                  <c:v>Poste express</c:v>
                </c:pt>
                <c:pt idx="2">
                  <c:v>Poste normal</c:v>
                </c:pt>
                <c:pt idx="3">
                  <c:v>Retrait</c:v>
                </c:pt>
                <c:pt idx="4">
                  <c:v>Revendeur2</c:v>
                </c:pt>
              </c:strCache>
            </c:strRef>
          </c:cat>
          <c:val>
            <c:numRef>
              <c:f>tcd_MargeCanalLivraison!$E$3:$E$8</c:f>
              <c:numCache>
                <c:formatCode>General</c:formatCode>
                <c:ptCount val="5"/>
                <c:pt idx="0">
                  <c:v>7454</c:v>
                </c:pt>
                <c:pt idx="1">
                  <c:v>19875</c:v>
                </c:pt>
                <c:pt idx="2">
                  <c:v>9122</c:v>
                </c:pt>
                <c:pt idx="3">
                  <c:v>13401</c:v>
                </c:pt>
                <c:pt idx="4">
                  <c:v>10615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3B-46F7-A32A-899578E75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0641664"/>
        <c:axId val="747869632"/>
      </c:barChart>
      <c:catAx>
        <c:axId val="80064166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7869632"/>
        <c:crosses val="autoZero"/>
        <c:auto val="1"/>
        <c:lblAlgn val="ctr"/>
        <c:lblOffset val="100"/>
        <c:noMultiLvlLbl val="0"/>
      </c:catAx>
      <c:valAx>
        <c:axId val="74786963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064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0607075843381408E-2"/>
          <c:y val="3.7385046224605631E-2"/>
          <c:w val="0.17185512718037674"/>
          <c:h val="0.130246912079657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260685</xdr:colOff>
      <xdr:row>2</xdr:row>
      <xdr:rowOff>2005</xdr:rowOff>
    </xdr:from>
    <xdr:to>
      <xdr:col>16</xdr:col>
      <xdr:colOff>40106</xdr:colOff>
      <xdr:row>31</xdr:row>
      <xdr:rowOff>20052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42EB219-5038-DAC7-0039-843AE390C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194010</xdr:colOff>
      <xdr:row>9</xdr:row>
      <xdr:rowOff>120818</xdr:rowOff>
    </xdr:from>
    <xdr:to>
      <xdr:col>21</xdr:col>
      <xdr:colOff>218073</xdr:colOff>
      <xdr:row>26</xdr:row>
      <xdr:rowOff>80212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">
              <a:extLst>
                <a:ext uri="{FF2B5EF4-FFF2-40B4-BE49-F238E27FC236}">
                  <a16:creationId xmlns:a16="http://schemas.microsoft.com/office/drawing/2014/main" id="{8FBA4848-F859-973A-33C1-6655CF1FF4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10036" y="1835318"/>
              <a:ext cx="1828800" cy="31978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188997</xdr:colOff>
      <xdr:row>1</xdr:row>
      <xdr:rowOff>25567</xdr:rowOff>
    </xdr:from>
    <xdr:to>
      <xdr:col>21</xdr:col>
      <xdr:colOff>213060</xdr:colOff>
      <xdr:row>8</xdr:row>
      <xdr:rowOff>140368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nal">
              <a:extLst>
                <a:ext uri="{FF2B5EF4-FFF2-40B4-BE49-F238E27FC236}">
                  <a16:creationId xmlns:a16="http://schemas.microsoft.com/office/drawing/2014/main" id="{0F477AA9-A2C7-FAF0-2AC6-7D75A038E8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05023" y="216067"/>
              <a:ext cx="1828800" cy="14483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785812</xdr:colOff>
      <xdr:row>0</xdr:row>
      <xdr:rowOff>142873</xdr:rowOff>
    </xdr:from>
    <xdr:to>
      <xdr:col>14</xdr:col>
      <xdr:colOff>762000</xdr:colOff>
      <xdr:row>29</xdr:row>
      <xdr:rowOff>142874</xdr:rowOff>
    </xdr:to>
    <xdr:graphicFrame macro="">
      <xdr:nvGraphicFramePr>
        <xdr:cNvPr id="2" name="gcd_prodAnnee">
          <a:extLst>
            <a:ext uri="{FF2B5EF4-FFF2-40B4-BE49-F238E27FC236}">
              <a16:creationId xmlns:a16="http://schemas.microsoft.com/office/drawing/2014/main" id="{3E995113-7035-4A99-8769-399CDA577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1</xdr:row>
      <xdr:rowOff>9524</xdr:rowOff>
    </xdr:from>
    <xdr:to>
      <xdr:col>14</xdr:col>
      <xdr:colOff>514350</xdr:colOff>
      <xdr:row>27</xdr:row>
      <xdr:rowOff>76199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626EC16-824A-8623-17A4-E8298EE87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370972</xdr:colOff>
      <xdr:row>0</xdr:row>
      <xdr:rowOff>0</xdr:rowOff>
    </xdr:from>
    <xdr:to>
      <xdr:col>18</xdr:col>
      <xdr:colOff>190499</xdr:colOff>
      <xdr:row>31</xdr:row>
      <xdr:rowOff>20053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104B503-C139-4598-9F9C-5B3A7355C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58317</xdr:colOff>
      <xdr:row>17</xdr:row>
      <xdr:rowOff>68035</xdr:rowOff>
    </xdr:from>
    <xdr:to>
      <xdr:col>17</xdr:col>
      <xdr:colOff>126352</xdr:colOff>
      <xdr:row>43</xdr:row>
      <xdr:rowOff>10886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B82A983-1D12-4021-1406-8BB59041E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408214</xdr:colOff>
      <xdr:row>20</xdr:row>
      <xdr:rowOff>38878</xdr:rowOff>
    </xdr:from>
    <xdr:to>
      <xdr:col>17</xdr:col>
      <xdr:colOff>48598</xdr:colOff>
      <xdr:row>31</xdr:row>
      <xdr:rowOff>126353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5114DA8-DBD3-354E-52C3-95AF11213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24020</xdr:colOff>
      <xdr:row>2</xdr:row>
      <xdr:rowOff>11912</xdr:rowOff>
    </xdr:from>
    <xdr:to>
      <xdr:col>11</xdr:col>
      <xdr:colOff>796710</xdr:colOff>
      <xdr:row>9</xdr:row>
      <xdr:rowOff>59817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eVente 1">
              <a:extLst>
                <a:ext uri="{FF2B5EF4-FFF2-40B4-BE49-F238E27FC236}">
                  <a16:creationId xmlns:a16="http://schemas.microsoft.com/office/drawing/2014/main" id="{68B1C554-0523-4C0C-B6CF-98D846070D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Ve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93388" y="392912"/>
              <a:ext cx="3339427" cy="13814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140367</xdr:colOff>
      <xdr:row>1</xdr:row>
      <xdr:rowOff>149290</xdr:rowOff>
    </xdr:from>
    <xdr:to>
      <xdr:col>26</xdr:col>
      <xdr:colOff>30078</xdr:colOff>
      <xdr:row>22</xdr:row>
      <xdr:rowOff>183187</xdr:rowOff>
    </xdr:to>
    <xdr:graphicFrame macro="">
      <xdr:nvGraphicFramePr>
        <xdr:cNvPr id="7" name="gcd_Ventes">
          <a:extLst>
            <a:ext uri="{FF2B5EF4-FFF2-40B4-BE49-F238E27FC236}">
              <a16:creationId xmlns:a16="http://schemas.microsoft.com/office/drawing/2014/main" id="{12CE153E-CF48-89D4-0021-890F229CD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184440</xdr:colOff>
      <xdr:row>23</xdr:row>
      <xdr:rowOff>172333</xdr:rowOff>
    </xdr:from>
    <xdr:to>
      <xdr:col>12</xdr:col>
      <xdr:colOff>375604</xdr:colOff>
      <xdr:row>31</xdr:row>
      <xdr:rowOff>29738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Vente">
              <a:extLst>
                <a:ext uri="{FF2B5EF4-FFF2-40B4-BE49-F238E27FC236}">
                  <a16:creationId xmlns:a16="http://schemas.microsoft.com/office/drawing/2014/main" id="{CC4A0488-E259-0E61-89A9-1164A2557A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V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77545" y="4553833"/>
              <a:ext cx="3339427" cy="13814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0</xdr:row>
      <xdr:rowOff>76199</xdr:rowOff>
    </xdr:from>
    <xdr:to>
      <xdr:col>17</xdr:col>
      <xdr:colOff>504825</xdr:colOff>
      <xdr:row>34</xdr:row>
      <xdr:rowOff>180975</xdr:rowOff>
    </xdr:to>
    <xdr:graphicFrame macro="">
      <xdr:nvGraphicFramePr>
        <xdr:cNvPr id="2" name="gcd_prodAnnee">
          <a:extLst>
            <a:ext uri="{FF2B5EF4-FFF2-40B4-BE49-F238E27FC236}">
              <a16:creationId xmlns:a16="http://schemas.microsoft.com/office/drawing/2014/main" id="{C1F37450-E9CA-309C-2E7A-6F4295644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0</xdr:row>
      <xdr:rowOff>161924</xdr:rowOff>
    </xdr:from>
    <xdr:to>
      <xdr:col>13</xdr:col>
      <xdr:colOff>428625</xdr:colOff>
      <xdr:row>35</xdr:row>
      <xdr:rowOff>76200</xdr:rowOff>
    </xdr:to>
    <xdr:graphicFrame macro="">
      <xdr:nvGraphicFramePr>
        <xdr:cNvPr id="2" name="gcd_prodAnnee">
          <a:extLst>
            <a:ext uri="{FF2B5EF4-FFF2-40B4-BE49-F238E27FC236}">
              <a16:creationId xmlns:a16="http://schemas.microsoft.com/office/drawing/2014/main" id="{9E132BC7-3F15-4291-BDA0-3B2F2EA02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dovic Moreau" refreshedDate="45927.407028819442" createdVersion="8" refreshedVersion="8" minRefreshableVersion="3" recordCount="163" xr:uid="{CF129C6C-C559-4C27-8423-1910AD16580E}">
  <cacheSource type="worksheet">
    <worksheetSource name="tbl_Ventes"/>
  </cacheSource>
  <cacheFields count="11">
    <cacheField name="dateVente" numFmtId="14">
      <sharedItems containsSemiMixedTypes="0" containsNonDate="0" containsDate="1" containsString="0" minDate="2021-01-12T00:00:00" maxDate="2022-09-03T00:00:00"/>
    </cacheField>
    <cacheField name="Prod" numFmtId="0">
      <sharedItems/>
    </cacheField>
    <cacheField name="Canal" numFmtId="0">
      <sharedItems count="6">
        <s v="Internet"/>
        <s v="Téléphone"/>
        <s v="Magasin"/>
        <s v="Commercial"/>
        <s v="Online" f="1"/>
        <s v="Offline" f="1"/>
      </sharedItems>
    </cacheField>
    <cacheField name="Livraison" numFmtId="0">
      <sharedItems/>
    </cacheField>
    <cacheField name="Qté" numFmtId="0">
      <sharedItems containsSemiMixedTypes="0" containsString="0" containsNumber="1" containsInteger="1" minValue="1" maxValue="25"/>
    </cacheField>
    <cacheField name="PA" numFmtId="0">
      <sharedItems containsSemiMixedTypes="0" containsString="0" containsNumber="1" containsInteger="1" minValue="105" maxValue="478"/>
    </cacheField>
    <cacheField name="PV" numFmtId="0">
      <sharedItems containsSemiMixedTypes="0" containsString="0" containsNumber="1" containsInteger="1" minValue="147" maxValue="669"/>
    </cacheField>
    <cacheField name="Total Vente" numFmtId="164">
      <sharedItems containsSemiMixedTypes="0" containsString="0" containsNumber="1" containsInteger="1" minValue="378" maxValue="16056"/>
    </cacheField>
    <cacheField name="Marge" numFmtId="164">
      <sharedItems containsSemiMixedTypes="0" containsString="0" containsNumber="1" containsInteger="1" minValue="108" maxValue="4584"/>
    </cacheField>
    <cacheField name="TTC" numFmtId="0" formula="'Total Vente' *1.081" databaseField="0"/>
    <cacheField name="TVA" numFmtId="0" formula=" 8.1%" databaseField="0"/>
  </cacheFields>
  <calculatedItems count="2">
    <calculatedItem formula="Canal[Internet]">
      <pivotArea cacheIndex="1" outline="0" fieldPosition="0">
        <references count="1">
          <reference field="2" count="1">
            <x v="4"/>
          </reference>
        </references>
      </pivotArea>
    </calculatedItem>
    <calculatedItem formula="Canal[Commercial] +Canal[Magasin] +Canal[Téléphone]">
      <pivotArea cacheIndex="1" outline="0" fieldPosition="0">
        <references count="1">
          <reference field="2" count="1">
            <x v="5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 pivotCacheId="119421616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dovic Moreau" refreshedDate="46065.812754513892" createdVersion="8" refreshedVersion="8" minRefreshableVersion="3" recordCount="163" xr:uid="{6FB7E6AA-1585-45FF-9D38-A29D3E25662F}">
  <cacheSource type="worksheet">
    <worksheetSource name="tbl_Ventes"/>
  </cacheSource>
  <cacheFields count="13">
    <cacheField name="dateVente" numFmtId="14">
      <sharedItems containsSemiMixedTypes="0" containsNonDate="0" containsDate="1" containsString="0" minDate="2021-01-12T00:00:00" maxDate="2022-12-29T00:00:00" count="106">
        <d v="2021-01-12T00:00:00"/>
        <d v="2021-01-19T00:00:00"/>
        <d v="2021-01-26T00:00:00"/>
        <d v="2021-02-02T00:00:00"/>
        <d v="2021-02-09T00:00:00"/>
        <d v="2021-02-16T00:00:00"/>
        <d v="2021-02-23T00:00:00"/>
        <d v="2021-03-02T00:00:00"/>
        <d v="2021-03-09T00:00:00"/>
        <d v="2021-03-16T00:00:00"/>
        <d v="2021-03-23T00:00:00"/>
        <d v="2021-03-30T00:00:00"/>
        <d v="2021-04-06T00:00:00"/>
        <d v="2021-04-13T00:00:00"/>
        <d v="2021-04-20T00:00:00"/>
        <d v="2021-04-27T00:00:00"/>
        <d v="2021-05-04T00:00:00"/>
        <d v="2021-05-11T00:00:00"/>
        <d v="2021-05-18T00:00:00"/>
        <d v="2021-05-25T00:00:00"/>
        <d v="2021-06-01T00:00:00"/>
        <d v="2021-06-08T00:00:00"/>
        <d v="2021-06-15T00:00:00"/>
        <d v="2021-06-22T00:00:00"/>
        <d v="2021-06-29T00:00:00"/>
        <d v="2021-07-06T00:00:00"/>
        <d v="2021-07-13T00:00:00"/>
        <d v="2021-07-20T00:00:00"/>
        <d v="2021-07-27T00:00:00"/>
        <d v="2021-08-03T00:00:00"/>
        <d v="2021-08-10T00:00:00"/>
        <d v="2021-08-17T00:00:00"/>
        <d v="2021-08-24T00:00:00"/>
        <d v="2021-08-31T00:00:00"/>
        <d v="2021-09-07T00:00:00"/>
        <d v="2021-09-14T00:00:00"/>
        <d v="2021-09-21T00:00:00"/>
        <d v="2021-09-28T00:00:00"/>
        <d v="2021-10-05T00:00:00"/>
        <d v="2021-10-12T00:00:00"/>
        <d v="2021-11-07T00:00:00"/>
        <d v="2021-11-14T00:00:00"/>
        <d v="2021-11-21T00:00:00"/>
        <d v="2021-11-28T00:00:00"/>
        <d v="2021-12-05T00:00:00"/>
        <d v="2021-12-10T00:00:00"/>
        <d v="2021-12-17T00:00:00"/>
        <d v="2022-01-11T00:00:00"/>
        <d v="2022-01-17T00:00:00"/>
        <d v="2022-01-23T00:00:00"/>
        <d v="2022-01-29T00:00:00"/>
        <d v="2022-02-04T00:00:00"/>
        <d v="2022-02-10T00:00:00"/>
        <d v="2022-02-16T00:00:00"/>
        <d v="2022-02-22T00:00:00"/>
        <d v="2022-02-28T00:00:00"/>
        <d v="2022-03-06T00:00:00"/>
        <d v="2022-03-12T00:00:00"/>
        <d v="2022-03-18T00:00:00"/>
        <d v="2022-03-24T00:00:00"/>
        <d v="2022-03-30T00:00:00"/>
        <d v="2022-04-05T00:00:00"/>
        <d v="2022-04-11T00:00:00"/>
        <d v="2022-04-17T00:00:00"/>
        <d v="2022-04-23T00:00:00"/>
        <d v="2022-04-29T00:00:00"/>
        <d v="2022-05-05T00:00:00"/>
        <d v="2022-05-11T00:00:00"/>
        <d v="2022-05-17T00:00:00"/>
        <d v="2022-05-23T00:00:00"/>
        <d v="2022-05-29T00:00:00"/>
        <d v="2022-06-04T00:00:00"/>
        <d v="2022-06-10T00:00:00"/>
        <d v="2022-06-16T00:00:00"/>
        <d v="2022-06-22T00:00:00"/>
        <d v="2022-06-28T00:00:00"/>
        <d v="2022-07-04T00:00:00"/>
        <d v="2022-07-10T00:00:00"/>
        <d v="2022-07-16T00:00:00"/>
        <d v="2022-07-22T00:00:00"/>
        <d v="2022-07-28T00:00:00"/>
        <d v="2022-08-03T00:00:00"/>
        <d v="2022-08-09T00:00:00"/>
        <d v="2022-08-15T00:00:00"/>
        <d v="2022-08-21T00:00:00"/>
        <d v="2022-08-27T00:00:00"/>
        <d v="2022-09-02T00:00:00"/>
        <d v="2022-10-02T00:00:00" u="1"/>
        <d v="2022-10-15T00:00:00" u="1"/>
        <d v="2022-10-23T00:00:00" u="1"/>
        <d v="2022-10-29T00:00:00" u="1"/>
        <d v="2022-11-04T00:00:00" u="1"/>
        <d v="2022-11-10T00:00:00" u="1"/>
        <d v="2022-11-16T00:00:00" u="1"/>
        <d v="2022-11-22T00:00:00" u="1"/>
        <d v="2022-11-28T00:00:00" u="1"/>
        <d v="2022-12-04T00:00:00" u="1"/>
        <d v="2022-12-10T00:00:00" u="1"/>
        <d v="2022-12-16T00:00:00" u="1"/>
        <d v="2022-12-22T00:00:00" u="1"/>
        <d v="2022-12-28T00:00:00" u="1"/>
        <d v="2022-10-03T00:00:00" u="1"/>
        <d v="2022-10-09T00:00:00" u="1"/>
        <d v="2022-10-21T00:00:00" u="1"/>
        <d v="2022-10-27T00:00:00" u="1"/>
        <d v="2022-12-02T00:00:00" u="1"/>
      </sharedItems>
      <fieldGroup par="11"/>
    </cacheField>
    <cacheField name="Prod" numFmtId="0">
      <sharedItems count="20">
        <s v="P1"/>
        <s v="P2"/>
        <s v="P3"/>
        <s v="P4"/>
        <s v="P5"/>
        <s v="P6"/>
        <s v="P7"/>
        <s v="P8"/>
        <s v="P9"/>
        <s v="P10"/>
        <s v="P11"/>
        <s v="P12"/>
        <s v="P13"/>
        <s v="P14"/>
        <s v="P15"/>
        <s v="P16"/>
        <s v="P17"/>
        <s v="P18"/>
        <s v="P19"/>
        <s v="P20"/>
      </sharedItems>
    </cacheField>
    <cacheField name="Canal" numFmtId="0">
      <sharedItems count="4">
        <s v="Internet"/>
        <s v="Téléphone"/>
        <s v="Magasin"/>
        <s v="Commercial"/>
      </sharedItems>
    </cacheField>
    <cacheField name="Livraison" numFmtId="0">
      <sharedItems count="6">
        <s v="Poste express"/>
        <s v="Poste normal"/>
        <s v="Retrait"/>
        <s v="Revendeur"/>
        <s v="Frêt avion"/>
        <s v="Achat magasin" u="1"/>
      </sharedItems>
    </cacheField>
    <cacheField name="Qté" numFmtId="0">
      <sharedItems containsSemiMixedTypes="0" containsString="0" containsNumber="1" containsInteger="1" minValue="1" maxValue="25"/>
    </cacheField>
    <cacheField name="PA" numFmtId="0">
      <sharedItems containsSemiMixedTypes="0" containsString="0" containsNumber="1" containsInteger="1" minValue="105" maxValue="478"/>
    </cacheField>
    <cacheField name="PV" numFmtId="0">
      <sharedItems containsSemiMixedTypes="0" containsString="0" containsNumber="1" containsInteger="1" minValue="147" maxValue="669"/>
    </cacheField>
    <cacheField name="Total Vente" numFmtId="164">
      <sharedItems containsSemiMixedTypes="0" containsString="0" containsNumber="1" containsInteger="1" minValue="378" maxValue="16056" count="129">
        <n v="4032"/>
        <n v="2016"/>
        <n v="2233"/>
        <n v="638"/>
        <n v="5967"/>
        <n v="3315"/>
        <n v="3168"/>
        <n v="3456"/>
        <n v="8947"/>
        <n v="5446"/>
        <n v="7140"/>
        <n v="1785"/>
        <n v="7920"/>
        <n v="2980"/>
        <n v="1490"/>
        <n v="16056"/>
        <n v="6690"/>
        <n v="7084"/>
        <n v="9614"/>
        <n v="7891"/>
        <n v="8498"/>
        <n v="2276"/>
        <n v="4552"/>
        <n v="5194"/>
        <n v="5040"/>
        <n v="2985"/>
        <n v="4147"/>
        <n v="3756"/>
        <n v="1890"/>
        <n v="2304"/>
        <n v="3773"/>
        <n v="2334"/>
        <n v="1323"/>
        <n v="7476"/>
        <n v="15180"/>
        <n v="3360"/>
        <n v="7152"/>
        <n v="14049"/>
        <n v="10120"/>
        <n v="13354"/>
        <n v="7966"/>
        <n v="1021"/>
        <n v="1855"/>
        <n v="1194"/>
        <n v="1980"/>
        <n v="1565"/>
        <n v="2682"/>
        <n v="378"/>
        <n v="2007"/>
        <n v="4851"/>
        <n v="1518"/>
        <n v="588"/>
        <n v="4249"/>
        <n v="4272"/>
        <n v="420"/>
        <n v="2226"/>
        <n v="1012"/>
        <n v="1791"/>
        <n v="3035"/>
        <n v="939"/>
        <n v="2268"/>
        <n v="5929"/>
        <n v="3528"/>
        <n v="3738"/>
        <n v="5460"/>
        <n v="13656"/>
        <n v="7791"/>
        <n v="11940"/>
        <n v="6886"/>
        <n v="5292"/>
        <n v="2695"/>
        <n v="1764"/>
        <n v="11380"/>
        <n v="9576"/>
        <n v="3190"/>
        <n v="2670"/>
        <n v="5304"/>
        <n v="4200"/>
        <n v="6048"/>
        <n v="5057"/>
        <n v="11220"/>
        <n v="3710"/>
        <n v="5662"/>
        <n v="4776"/>
        <n v="6573"/>
        <n v="4914"/>
        <n v="2205"/>
        <n v="12282"/>
        <n v="10746"/>
        <n v="7980"/>
        <n v="1878"/>
        <n v="15840"/>
        <n v="6258"/>
        <n v="13380"/>
        <n v="2352"/>
        <n v="11132"/>
        <n v="6070"/>
        <n v="8820"/>
        <n v="10811"/>
        <n v="6552"/>
        <n v="1595"/>
        <n v="11934"/>
        <n v="3130"/>
        <n v="5184"/>
        <n v="2723"/>
        <n v="4466"/>
        <n v="5712"/>
        <n v="2880"/>
        <n v="2384"/>
        <n v="3890"/>
        <n v="6783"/>
        <n v="6578"/>
        <n v="9240"/>
        <n v="3983"/>
        <n v="10035"/>
        <n v="9275"/>
        <n v="11638"/>
        <n v="13731"/>
        <n v="11533"/>
        <n v="3443"/>
        <n v="13087"/>
        <n v="7560"/>
        <n v="8533"/>
        <n v="8085"/>
        <n v="1470"/>
        <n v="2793"/>
        <n v="6942"/>
        <n v="10780"/>
        <n v="4620"/>
      </sharedItems>
      <fieldGroup base="7">
        <rangePr autoStart="0" startNum="0" endNum="16056" groupInterval="1000"/>
        <groupItems count="19">
          <s v="&lt;0"/>
          <s v="0-999"/>
          <s v="1000-1999"/>
          <s v="2000-2999"/>
          <s v="3000-3999"/>
          <s v="4000-4999"/>
          <s v="5000-5999"/>
          <s v="6000-6999"/>
          <s v="7000-7999"/>
          <s v="8000-8999"/>
          <s v="9000-9999"/>
          <s v="10000-10999"/>
          <s v="11000-11999"/>
          <s v="12000-12999"/>
          <s v="13000-13999"/>
          <s v="14000-14999"/>
          <s v="15000-15999"/>
          <s v="16000-16999"/>
          <s v="&gt;17000"/>
        </groupItems>
      </fieldGroup>
    </cacheField>
    <cacheField name="Marge" numFmtId="164">
      <sharedItems containsSemiMixedTypes="0" containsString="0" containsNumber="1" containsInteger="1" minValue="108" maxValue="4584"/>
    </cacheField>
    <cacheField name="Mois (dateVente)" numFmtId="0" databaseField="0">
      <fieldGroup base="0">
        <rangePr groupBy="months" startDate="2021-01-12T00:00:00" endDate="2022-09-03T00:00:00"/>
        <groupItems count="14">
          <s v="&lt;12.01.2021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3.09.2022"/>
        </groupItems>
      </fieldGroup>
    </cacheField>
    <cacheField name="Trimestres (dateVente)" numFmtId="0" databaseField="0">
      <fieldGroup base="0">
        <rangePr groupBy="quarters" startDate="2021-01-12T00:00:00" endDate="2022-09-03T00:00:00"/>
        <groupItems count="6">
          <s v="&lt;12.01.2021"/>
          <s v="Trimestre1"/>
          <s v="Trimestre2"/>
          <s v="Trimestre3"/>
          <s v="Trimestre4"/>
          <s v="&gt;03.09.2022"/>
        </groupItems>
      </fieldGroup>
    </cacheField>
    <cacheField name="Années (dateVente)" numFmtId="0" databaseField="0">
      <fieldGroup base="0">
        <rangePr groupBy="years" startDate="2021-01-12T00:00:00" endDate="2022-09-03T00:00:00"/>
        <groupItems count="4">
          <s v="&lt;12.01.2021"/>
          <s v="2021"/>
          <s v="2022"/>
          <s v="&gt;03.09.2022"/>
        </groupItems>
      </fieldGroup>
    </cacheField>
    <cacheField name="TTC" numFmtId="0" formula="PV*Qté" databaseField="0"/>
  </cacheFields>
  <extLst>
    <ext xmlns:x14="http://schemas.microsoft.com/office/spreadsheetml/2009/9/main" uri="{725AE2AE-9491-48be-B2B4-4EB974FC3084}">
      <x14:pivotCacheDefinition pivotCacheId="7475094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d v="2021-01-12T00:00:00"/>
    <s v="P1"/>
    <x v="0"/>
    <s v="Poste express"/>
    <n v="8"/>
    <n v="360"/>
    <n v="504"/>
    <n v="4032"/>
    <n v="1152"/>
  </r>
  <r>
    <d v="2021-01-12T00:00:00"/>
    <s v="P1"/>
    <x v="1"/>
    <s v="Poste normal"/>
    <n v="4"/>
    <n v="360"/>
    <n v="504"/>
    <n v="2016"/>
    <n v="576"/>
  </r>
  <r>
    <d v="2021-01-19T00:00:00"/>
    <s v="P2"/>
    <x v="2"/>
    <s v="Poste express"/>
    <n v="7"/>
    <n v="228"/>
    <n v="319"/>
    <n v="2233"/>
    <n v="637"/>
  </r>
  <r>
    <d v="2021-01-19T00:00:00"/>
    <s v="P2"/>
    <x v="1"/>
    <s v="Retrait"/>
    <n v="2"/>
    <n v="228"/>
    <n v="319"/>
    <n v="638"/>
    <n v="182"/>
  </r>
  <r>
    <d v="2021-01-26T00:00:00"/>
    <s v="P3"/>
    <x v="3"/>
    <s v="Revendeur"/>
    <n v="9"/>
    <n v="474"/>
    <n v="663"/>
    <n v="5967"/>
    <n v="1701"/>
  </r>
  <r>
    <d v="2021-01-26T00:00:00"/>
    <s v="P3"/>
    <x v="0"/>
    <s v="Revendeur"/>
    <n v="5"/>
    <n v="474"/>
    <n v="663"/>
    <n v="3315"/>
    <n v="945"/>
  </r>
  <r>
    <d v="2021-02-02T00:00:00"/>
    <s v="P4"/>
    <x v="1"/>
    <s v="Frêt avion"/>
    <n v="11"/>
    <n v="206"/>
    <n v="288"/>
    <n v="3168"/>
    <n v="902"/>
  </r>
  <r>
    <d v="2021-02-02T00:00:00"/>
    <s v="P4"/>
    <x v="3"/>
    <s v="Frêt avion"/>
    <n v="12"/>
    <n v="206"/>
    <n v="288"/>
    <n v="3456"/>
    <n v="984"/>
  </r>
  <r>
    <d v="2021-02-09T00:00:00"/>
    <s v="P5"/>
    <x v="2"/>
    <s v="Poste normal"/>
    <n v="23"/>
    <n v="278"/>
    <n v="389"/>
    <n v="8947"/>
    <n v="2553"/>
  </r>
  <r>
    <d v="2021-02-09T00:00:00"/>
    <s v="P5"/>
    <x v="1"/>
    <s v="Poste express"/>
    <n v="14"/>
    <n v="278"/>
    <n v="389"/>
    <n v="5446"/>
    <n v="1554"/>
  </r>
  <r>
    <d v="2021-02-16T00:00:00"/>
    <s v="P6"/>
    <x v="3"/>
    <s v="Revendeur"/>
    <n v="20"/>
    <n v="255"/>
    <n v="357"/>
    <n v="7140"/>
    <n v="2040"/>
  </r>
  <r>
    <d v="2021-02-16T00:00:00"/>
    <s v="P6"/>
    <x v="1"/>
    <s v="Poste normal"/>
    <n v="5"/>
    <n v="255"/>
    <n v="357"/>
    <n v="1785"/>
    <n v="510"/>
  </r>
  <r>
    <d v="2021-02-23T00:00:00"/>
    <s v="P7"/>
    <x v="1"/>
    <s v="Frêt avion"/>
    <n v="12"/>
    <n v="472"/>
    <n v="660"/>
    <n v="7920"/>
    <n v="2256"/>
  </r>
  <r>
    <d v="2021-02-23T00:00:00"/>
    <s v="P7"/>
    <x v="1"/>
    <s v="Poste express"/>
    <n v="12"/>
    <n v="472"/>
    <n v="660"/>
    <n v="7920"/>
    <n v="2256"/>
  </r>
  <r>
    <d v="2021-03-02T00:00:00"/>
    <s v="P8"/>
    <x v="0"/>
    <s v="Poste normal"/>
    <n v="10"/>
    <n v="213"/>
    <n v="298"/>
    <n v="2980"/>
    <n v="850"/>
  </r>
  <r>
    <d v="2021-03-02T00:00:00"/>
    <s v="P8"/>
    <x v="2"/>
    <s v="Frêt avion"/>
    <n v="5"/>
    <n v="213"/>
    <n v="298"/>
    <n v="1490"/>
    <n v="425"/>
  </r>
  <r>
    <d v="2021-03-09T00:00:00"/>
    <s v="P9"/>
    <x v="0"/>
    <s v="Revendeur"/>
    <n v="24"/>
    <n v="478"/>
    <n v="669"/>
    <n v="16056"/>
    <n v="4584"/>
  </r>
  <r>
    <d v="2021-03-09T00:00:00"/>
    <s v="P9"/>
    <x v="3"/>
    <s v="Frêt avion"/>
    <n v="10"/>
    <n v="478"/>
    <n v="669"/>
    <n v="6690"/>
    <n v="1910"/>
  </r>
  <r>
    <d v="2021-03-16T00:00:00"/>
    <s v="P10"/>
    <x v="0"/>
    <s v="Retrait"/>
    <n v="14"/>
    <n v="362"/>
    <n v="506"/>
    <n v="7084"/>
    <n v="2016"/>
  </r>
  <r>
    <d v="2021-03-16T00:00:00"/>
    <s v="P10"/>
    <x v="0"/>
    <s v="Revendeur"/>
    <n v="19"/>
    <n v="362"/>
    <n v="506"/>
    <n v="9614"/>
    <n v="2736"/>
  </r>
  <r>
    <d v="2021-03-23T00:00:00"/>
    <s v="P11"/>
    <x v="2"/>
    <s v="Revendeur"/>
    <n v="13"/>
    <n v="434"/>
    <n v="607"/>
    <n v="7891"/>
    <n v="2249"/>
  </r>
  <r>
    <d v="2021-03-23T00:00:00"/>
    <s v="P11"/>
    <x v="2"/>
    <s v="Revendeur"/>
    <n v="14"/>
    <n v="434"/>
    <n v="607"/>
    <n v="8498"/>
    <n v="2422"/>
  </r>
  <r>
    <d v="2021-03-30T00:00:00"/>
    <s v="P12"/>
    <x v="2"/>
    <s v="Retrait"/>
    <n v="4"/>
    <n v="407"/>
    <n v="569"/>
    <n v="2276"/>
    <n v="648"/>
  </r>
  <r>
    <d v="2021-03-30T00:00:00"/>
    <s v="P12"/>
    <x v="2"/>
    <s v="Frêt avion"/>
    <n v="8"/>
    <n v="407"/>
    <n v="569"/>
    <n v="4552"/>
    <n v="1296"/>
  </r>
  <r>
    <d v="2021-04-06T00:00:00"/>
    <s v="P13"/>
    <x v="0"/>
    <s v="Poste normal"/>
    <n v="14"/>
    <n v="265"/>
    <n v="371"/>
    <n v="5194"/>
    <n v="1484"/>
  </r>
  <r>
    <d v="2021-04-06T00:00:00"/>
    <s v="P1"/>
    <x v="1"/>
    <s v="Poste normal"/>
    <n v="10"/>
    <n v="360"/>
    <n v="504"/>
    <n v="5040"/>
    <n v="1440"/>
  </r>
  <r>
    <d v="2021-04-13T00:00:00"/>
    <s v="P14"/>
    <x v="3"/>
    <s v="Poste express"/>
    <n v="5"/>
    <n v="427"/>
    <n v="597"/>
    <n v="2985"/>
    <n v="850"/>
  </r>
  <r>
    <d v="2021-04-13T00:00:00"/>
    <s v="P2"/>
    <x v="2"/>
    <s v="Poste express"/>
    <n v="13"/>
    <n v="228"/>
    <n v="319"/>
    <n v="4147"/>
    <n v="1183"/>
  </r>
  <r>
    <d v="2021-04-20T00:00:00"/>
    <s v="P15"/>
    <x v="0"/>
    <s v="Frêt avion"/>
    <n v="12"/>
    <n v="224"/>
    <n v="313"/>
    <n v="3756"/>
    <n v="1068"/>
  </r>
  <r>
    <d v="2021-04-20T00:00:00"/>
    <s v="P3"/>
    <x v="2"/>
    <s v="Revendeur"/>
    <n v="5"/>
    <n v="474"/>
    <n v="663"/>
    <n v="3315"/>
    <n v="945"/>
  </r>
  <r>
    <d v="2021-04-27T00:00:00"/>
    <s v="P16"/>
    <x v="0"/>
    <s v="Poste express"/>
    <n v="5"/>
    <n v="270"/>
    <n v="378"/>
    <n v="1890"/>
    <n v="540"/>
  </r>
  <r>
    <d v="2021-04-27T00:00:00"/>
    <s v="P4"/>
    <x v="3"/>
    <s v="Retrait"/>
    <n v="8"/>
    <n v="206"/>
    <n v="288"/>
    <n v="2304"/>
    <n v="656"/>
  </r>
  <r>
    <d v="2021-05-04T00:00:00"/>
    <s v="P17"/>
    <x v="1"/>
    <s v="Retrait"/>
    <n v="7"/>
    <n v="385"/>
    <n v="539"/>
    <n v="3773"/>
    <n v="1078"/>
  </r>
  <r>
    <d v="2021-05-04T00:00:00"/>
    <s v="P5"/>
    <x v="3"/>
    <s v="Poste express"/>
    <n v="6"/>
    <n v="278"/>
    <n v="389"/>
    <n v="2334"/>
    <n v="666"/>
  </r>
  <r>
    <d v="2021-05-11T00:00:00"/>
    <s v="P18"/>
    <x v="1"/>
    <s v="Poste express"/>
    <n v="9"/>
    <n v="105"/>
    <n v="147"/>
    <n v="1323"/>
    <n v="378"/>
  </r>
  <r>
    <d v="2021-05-11T00:00:00"/>
    <s v="P6"/>
    <x v="1"/>
    <s v="Revendeur"/>
    <n v="5"/>
    <n v="255"/>
    <n v="357"/>
    <n v="1785"/>
    <n v="510"/>
  </r>
  <r>
    <d v="2021-05-18T00:00:00"/>
    <s v="P19"/>
    <x v="1"/>
    <s v="Revendeur"/>
    <n v="14"/>
    <n v="382"/>
    <n v="534"/>
    <n v="7476"/>
    <n v="2128"/>
  </r>
  <r>
    <d v="2021-05-18T00:00:00"/>
    <s v="P7"/>
    <x v="2"/>
    <s v="Retrait"/>
    <n v="23"/>
    <n v="472"/>
    <n v="660"/>
    <n v="15180"/>
    <n v="4324"/>
  </r>
  <r>
    <d v="2021-05-25T00:00:00"/>
    <s v="P20"/>
    <x v="3"/>
    <s v="Poste normal"/>
    <n v="8"/>
    <n v="300"/>
    <n v="420"/>
    <n v="3360"/>
    <n v="960"/>
  </r>
  <r>
    <d v="2021-05-25T00:00:00"/>
    <s v="P8"/>
    <x v="0"/>
    <s v="Retrait"/>
    <n v="24"/>
    <n v="213"/>
    <n v="298"/>
    <n v="7152"/>
    <n v="2040"/>
  </r>
  <r>
    <d v="2021-06-01T00:00:00"/>
    <s v="P1"/>
    <x v="1"/>
    <s v="Retrait"/>
    <n v="10"/>
    <n v="360"/>
    <n v="504"/>
    <n v="5040"/>
    <n v="1440"/>
  </r>
  <r>
    <d v="2021-06-01T00:00:00"/>
    <s v="P9"/>
    <x v="0"/>
    <s v="Poste express"/>
    <n v="21"/>
    <n v="478"/>
    <n v="669"/>
    <n v="14049"/>
    <n v="4011"/>
  </r>
  <r>
    <d v="2021-06-08T00:00:00"/>
    <s v="P2"/>
    <x v="2"/>
    <s v="Frêt avion"/>
    <n v="13"/>
    <n v="228"/>
    <n v="319"/>
    <n v="4147"/>
    <n v="1183"/>
  </r>
  <r>
    <d v="2021-06-08T00:00:00"/>
    <s v="P10"/>
    <x v="0"/>
    <s v="Retrait"/>
    <n v="20"/>
    <n v="362"/>
    <n v="506"/>
    <n v="10120"/>
    <n v="2880"/>
  </r>
  <r>
    <d v="2021-06-15T00:00:00"/>
    <s v="P3"/>
    <x v="3"/>
    <s v="Frêt avion"/>
    <n v="5"/>
    <n v="474"/>
    <n v="663"/>
    <n v="3315"/>
    <n v="945"/>
  </r>
  <r>
    <d v="2021-06-15T00:00:00"/>
    <s v="P11"/>
    <x v="2"/>
    <s v="Revendeur"/>
    <n v="22"/>
    <n v="434"/>
    <n v="607"/>
    <n v="13354"/>
    <n v="3806"/>
  </r>
  <r>
    <d v="2021-06-22T00:00:00"/>
    <s v="P4"/>
    <x v="1"/>
    <s v="Retrait"/>
    <n v="12"/>
    <n v="206"/>
    <n v="288"/>
    <n v="3456"/>
    <n v="984"/>
  </r>
  <r>
    <d v="2021-06-22T00:00:00"/>
    <s v="P12"/>
    <x v="2"/>
    <s v="Poste express"/>
    <n v="14"/>
    <n v="407"/>
    <n v="569"/>
    <n v="7966"/>
    <n v="2268"/>
  </r>
  <r>
    <d v="2021-06-29T00:00:00"/>
    <s v="P5"/>
    <x v="1"/>
    <s v="Retrait"/>
    <n v="11"/>
    <n v="278"/>
    <n v="389"/>
    <n v="1021"/>
    <n v="1221"/>
  </r>
  <r>
    <d v="2021-06-29T00:00:00"/>
    <s v="P13"/>
    <x v="3"/>
    <s v="Poste normal"/>
    <n v="5"/>
    <n v="265"/>
    <n v="371"/>
    <n v="1855"/>
    <n v="530"/>
  </r>
  <r>
    <d v="2021-07-06T00:00:00"/>
    <s v="P6"/>
    <x v="1"/>
    <s v="Frêt avion"/>
    <n v="5"/>
    <n v="255"/>
    <n v="357"/>
    <n v="1785"/>
    <n v="510"/>
  </r>
  <r>
    <d v="2021-07-06T00:00:00"/>
    <s v="P14"/>
    <x v="3"/>
    <s v="Poste normal"/>
    <n v="2"/>
    <n v="427"/>
    <n v="597"/>
    <n v="1194"/>
    <n v="340"/>
  </r>
  <r>
    <d v="2021-07-13T00:00:00"/>
    <s v="P7"/>
    <x v="0"/>
    <s v="Poste normal"/>
    <n v="3"/>
    <n v="472"/>
    <n v="660"/>
    <n v="1980"/>
    <n v="564"/>
  </r>
  <r>
    <d v="2021-07-13T00:00:00"/>
    <s v="P15"/>
    <x v="0"/>
    <s v="Poste normal"/>
    <n v="5"/>
    <n v="224"/>
    <n v="313"/>
    <n v="1565"/>
    <n v="445"/>
  </r>
  <r>
    <d v="2021-07-20T00:00:00"/>
    <s v="P8"/>
    <x v="3"/>
    <s v="Frêt avion"/>
    <n v="9"/>
    <n v="213"/>
    <n v="298"/>
    <n v="2682"/>
    <n v="765"/>
  </r>
  <r>
    <d v="2021-07-20T00:00:00"/>
    <s v="P16"/>
    <x v="2"/>
    <s v="Frêt avion"/>
    <n v="1"/>
    <n v="270"/>
    <n v="378"/>
    <n v="378"/>
    <n v="108"/>
  </r>
  <r>
    <d v="2021-07-27T00:00:00"/>
    <s v="P9"/>
    <x v="3"/>
    <s v="Retrait"/>
    <n v="3"/>
    <n v="478"/>
    <n v="669"/>
    <n v="2007"/>
    <n v="573"/>
  </r>
  <r>
    <d v="2021-07-27T00:00:00"/>
    <s v="P17"/>
    <x v="3"/>
    <s v="Retrait"/>
    <n v="9"/>
    <n v="385"/>
    <n v="539"/>
    <n v="4851"/>
    <n v="1386"/>
  </r>
  <r>
    <d v="2021-08-03T00:00:00"/>
    <s v="P10"/>
    <x v="1"/>
    <s v="Poste normal"/>
    <n v="3"/>
    <n v="362"/>
    <n v="506"/>
    <n v="1518"/>
    <n v="432"/>
  </r>
  <r>
    <d v="2021-08-03T00:00:00"/>
    <s v="P18"/>
    <x v="0"/>
    <s v="Poste normal"/>
    <n v="4"/>
    <n v="105"/>
    <n v="147"/>
    <n v="588"/>
    <n v="168"/>
  </r>
  <r>
    <d v="2021-08-10T00:00:00"/>
    <s v="P11"/>
    <x v="1"/>
    <s v="Poste express"/>
    <n v="7"/>
    <n v="434"/>
    <n v="607"/>
    <n v="4249"/>
    <n v="1211"/>
  </r>
  <r>
    <d v="2021-08-10T00:00:00"/>
    <s v="P19"/>
    <x v="0"/>
    <s v="Revendeur"/>
    <n v="8"/>
    <n v="382"/>
    <n v="534"/>
    <n v="4272"/>
    <n v="1216"/>
  </r>
  <r>
    <d v="2021-08-17T00:00:00"/>
    <s v="P20"/>
    <x v="0"/>
    <s v="Frêt avion"/>
    <n v="1"/>
    <n v="300"/>
    <n v="420"/>
    <n v="420"/>
    <n v="120"/>
  </r>
  <r>
    <d v="2021-08-24T00:00:00"/>
    <s v="P13"/>
    <x v="0"/>
    <s v="Revendeur"/>
    <n v="6"/>
    <n v="265"/>
    <n v="371"/>
    <n v="2226"/>
    <n v="636"/>
  </r>
  <r>
    <d v="2021-08-24T00:00:00"/>
    <s v="P10"/>
    <x v="2"/>
    <s v="Retrait"/>
    <n v="2"/>
    <n v="362"/>
    <n v="506"/>
    <n v="1012"/>
    <n v="288"/>
  </r>
  <r>
    <d v="2021-08-31T00:00:00"/>
    <s v="P14"/>
    <x v="1"/>
    <s v="Frêt avion"/>
    <n v="3"/>
    <n v="427"/>
    <n v="597"/>
    <n v="1791"/>
    <n v="510"/>
  </r>
  <r>
    <d v="2021-08-31T00:00:00"/>
    <s v="P11"/>
    <x v="1"/>
    <s v="Revendeur"/>
    <n v="5"/>
    <n v="434"/>
    <n v="607"/>
    <n v="3035"/>
    <n v="865"/>
  </r>
  <r>
    <d v="2021-09-07T00:00:00"/>
    <s v="P15"/>
    <x v="3"/>
    <s v="Frêt avion"/>
    <n v="3"/>
    <n v="224"/>
    <n v="313"/>
    <n v="939"/>
    <n v="267"/>
  </r>
  <r>
    <d v="2021-09-14T00:00:00"/>
    <s v="P16"/>
    <x v="3"/>
    <s v="Revendeur"/>
    <n v="6"/>
    <n v="270"/>
    <n v="378"/>
    <n v="2268"/>
    <n v="648"/>
  </r>
  <r>
    <d v="2021-09-21T00:00:00"/>
    <s v="P17"/>
    <x v="0"/>
    <s v="Poste normal"/>
    <n v="11"/>
    <n v="385"/>
    <n v="539"/>
    <n v="5929"/>
    <n v="1694"/>
  </r>
  <r>
    <d v="2021-09-28T00:00:00"/>
    <s v="P18"/>
    <x v="0"/>
    <s v="Revendeur"/>
    <n v="24"/>
    <n v="105"/>
    <n v="147"/>
    <n v="3528"/>
    <n v="1008"/>
  </r>
  <r>
    <d v="2021-10-05T00:00:00"/>
    <s v="P19"/>
    <x v="3"/>
    <s v="Poste normal"/>
    <n v="7"/>
    <n v="382"/>
    <n v="534"/>
    <n v="3738"/>
    <n v="1064"/>
  </r>
  <r>
    <d v="2021-10-12T00:00:00"/>
    <s v="P20"/>
    <x v="0"/>
    <s v="Revendeur"/>
    <n v="13"/>
    <n v="300"/>
    <n v="420"/>
    <n v="5460"/>
    <n v="1560"/>
  </r>
  <r>
    <d v="2021-11-07T00:00:00"/>
    <s v="P12"/>
    <x v="2"/>
    <s v="Poste express"/>
    <n v="24"/>
    <n v="407"/>
    <n v="569"/>
    <n v="13656"/>
    <n v="3888"/>
  </r>
  <r>
    <d v="2021-11-14T00:00:00"/>
    <s v="P13"/>
    <x v="3"/>
    <s v="Retrait"/>
    <n v="21"/>
    <n v="265"/>
    <n v="371"/>
    <n v="7791"/>
    <n v="2226"/>
  </r>
  <r>
    <d v="2021-11-21T00:00:00"/>
    <s v="P14"/>
    <x v="3"/>
    <s v="Poste normal"/>
    <n v="20"/>
    <n v="427"/>
    <n v="597"/>
    <n v="11940"/>
    <n v="3400"/>
  </r>
  <r>
    <d v="2021-11-28T00:00:00"/>
    <s v="P15"/>
    <x v="1"/>
    <s v="Poste express"/>
    <n v="22"/>
    <n v="224"/>
    <n v="313"/>
    <n v="6886"/>
    <n v="1958"/>
  </r>
  <r>
    <d v="2021-12-05T00:00:00"/>
    <s v="P16"/>
    <x v="3"/>
    <s v="Retrait"/>
    <n v="14"/>
    <n v="270"/>
    <n v="378"/>
    <n v="5292"/>
    <n v="1512"/>
  </r>
  <r>
    <d v="2021-12-05T00:00:00"/>
    <s v="P17"/>
    <x v="2"/>
    <s v="Frêt avion"/>
    <n v="5"/>
    <n v="385"/>
    <n v="539"/>
    <n v="2695"/>
    <n v="770"/>
  </r>
  <r>
    <d v="2021-12-10T00:00:00"/>
    <s v="P18"/>
    <x v="0"/>
    <s v="Retrait"/>
    <n v="12"/>
    <n v="105"/>
    <n v="147"/>
    <n v="1764"/>
    <n v="504"/>
  </r>
  <r>
    <d v="2021-12-17T00:00:00"/>
    <s v="P12"/>
    <x v="3"/>
    <s v="Revendeur"/>
    <n v="20"/>
    <n v="407"/>
    <n v="569"/>
    <n v="11380"/>
    <n v="3240"/>
  </r>
  <r>
    <d v="2022-01-11T00:00:00"/>
    <s v="P1"/>
    <x v="2"/>
    <s v="Poste express"/>
    <n v="19"/>
    <n v="360"/>
    <n v="504"/>
    <n v="9576"/>
    <n v="2736"/>
  </r>
  <r>
    <d v="2022-01-17T00:00:00"/>
    <s v="P2"/>
    <x v="3"/>
    <s v="Poste express"/>
    <n v="10"/>
    <n v="228"/>
    <n v="319"/>
    <n v="3190"/>
    <n v="910"/>
  </r>
  <r>
    <d v="2022-01-17T00:00:00"/>
    <s v="P19"/>
    <x v="0"/>
    <s v="Poste normal"/>
    <n v="5"/>
    <n v="382"/>
    <n v="534"/>
    <n v="2670"/>
    <n v="760"/>
  </r>
  <r>
    <d v="2022-01-23T00:00:00"/>
    <s v="P3"/>
    <x v="0"/>
    <s v="Revendeur"/>
    <n v="8"/>
    <n v="474"/>
    <n v="663"/>
    <n v="5304"/>
    <n v="1512"/>
  </r>
  <r>
    <d v="2022-01-23T00:00:00"/>
    <s v="P20"/>
    <x v="0"/>
    <s v="Poste express"/>
    <n v="10"/>
    <n v="300"/>
    <n v="420"/>
    <n v="4200"/>
    <n v="1200"/>
  </r>
  <r>
    <d v="2022-01-29T00:00:00"/>
    <s v="P4"/>
    <x v="0"/>
    <s v="Retrait"/>
    <n v="21"/>
    <n v="206"/>
    <n v="288"/>
    <n v="6048"/>
    <n v="1722"/>
  </r>
  <r>
    <d v="2022-01-29T00:00:00"/>
    <s v="P10"/>
    <x v="1"/>
    <s v="Poste express"/>
    <n v="19"/>
    <n v="362"/>
    <n v="506"/>
    <n v="9614"/>
    <n v="2736"/>
  </r>
  <r>
    <d v="2022-02-04T00:00:00"/>
    <s v="P5"/>
    <x v="0"/>
    <s v="Poste express"/>
    <n v="13"/>
    <n v="278"/>
    <n v="389"/>
    <n v="5057"/>
    <n v="1443"/>
  </r>
  <r>
    <d v="2022-02-04T00:00:00"/>
    <s v="P11"/>
    <x v="0"/>
    <s v="Frêt avion"/>
    <n v="14"/>
    <n v="434"/>
    <n v="607"/>
    <n v="8498"/>
    <n v="2422"/>
  </r>
  <r>
    <d v="2022-02-10T00:00:00"/>
    <s v="P6"/>
    <x v="3"/>
    <s v="Retrait"/>
    <n v="5"/>
    <n v="255"/>
    <n v="357"/>
    <n v="1785"/>
    <n v="510"/>
  </r>
  <r>
    <d v="2022-02-10T00:00:00"/>
    <s v="P12"/>
    <x v="0"/>
    <s v="Poste normal"/>
    <n v="8"/>
    <n v="407"/>
    <n v="569"/>
    <n v="4552"/>
    <n v="1296"/>
  </r>
  <r>
    <d v="2022-02-16T00:00:00"/>
    <s v="P7"/>
    <x v="1"/>
    <s v="Revendeur"/>
    <n v="17"/>
    <n v="472"/>
    <n v="660"/>
    <n v="11220"/>
    <n v="3196"/>
  </r>
  <r>
    <d v="2022-02-16T00:00:00"/>
    <s v="P13"/>
    <x v="2"/>
    <s v="Poste express"/>
    <n v="10"/>
    <n v="265"/>
    <n v="371"/>
    <n v="3710"/>
    <n v="1060"/>
  </r>
  <r>
    <d v="2022-02-22T00:00:00"/>
    <s v="P8"/>
    <x v="3"/>
    <s v="Poste express"/>
    <n v="19"/>
    <n v="213"/>
    <n v="298"/>
    <n v="5662"/>
    <n v="1615"/>
  </r>
  <r>
    <d v="2022-02-22T00:00:00"/>
    <s v="P14"/>
    <x v="2"/>
    <s v="Revendeur"/>
    <n v="8"/>
    <n v="427"/>
    <n v="597"/>
    <n v="4776"/>
    <n v="1360"/>
  </r>
  <r>
    <d v="2022-02-28T00:00:00"/>
    <s v="P9"/>
    <x v="1"/>
    <s v="Retrait"/>
    <n v="10"/>
    <n v="478"/>
    <n v="669"/>
    <n v="6690"/>
    <n v="1910"/>
  </r>
  <r>
    <d v="2022-02-28T00:00:00"/>
    <s v="P15"/>
    <x v="3"/>
    <s v="Poste normal"/>
    <n v="21"/>
    <n v="224"/>
    <n v="313"/>
    <n v="6573"/>
    <n v="1869"/>
  </r>
  <r>
    <d v="2022-03-06T00:00:00"/>
    <s v="P10"/>
    <x v="1"/>
    <s v="Retrait"/>
    <n v="19"/>
    <n v="362"/>
    <n v="506"/>
    <n v="9614"/>
    <n v="2736"/>
  </r>
  <r>
    <d v="2022-03-06T00:00:00"/>
    <s v="P16"/>
    <x v="1"/>
    <s v="Frêt avion"/>
    <n v="13"/>
    <n v="270"/>
    <n v="378"/>
    <n v="4914"/>
    <n v="1404"/>
  </r>
  <r>
    <d v="2022-03-12T00:00:00"/>
    <s v="P11"/>
    <x v="0"/>
    <s v="Retrait"/>
    <n v="14"/>
    <n v="434"/>
    <n v="607"/>
    <n v="8498"/>
    <n v="2422"/>
  </r>
  <r>
    <d v="2022-03-12T00:00:00"/>
    <s v="P17"/>
    <x v="0"/>
    <s v="Revendeur"/>
    <n v="5"/>
    <n v="385"/>
    <n v="539"/>
    <n v="2695"/>
    <n v="770"/>
  </r>
  <r>
    <d v="2022-03-18T00:00:00"/>
    <s v="P12"/>
    <x v="2"/>
    <s v="Poste express"/>
    <n v="8"/>
    <n v="407"/>
    <n v="569"/>
    <n v="4552"/>
    <n v="1296"/>
  </r>
  <r>
    <d v="2022-03-18T00:00:00"/>
    <s v="P18"/>
    <x v="3"/>
    <s v="Retrait"/>
    <n v="15"/>
    <n v="105"/>
    <n v="147"/>
    <n v="2205"/>
    <n v="630"/>
  </r>
  <r>
    <d v="2022-03-24T00:00:00"/>
    <s v="P13"/>
    <x v="0"/>
    <s v="Poste normal"/>
    <n v="6"/>
    <n v="265"/>
    <n v="371"/>
    <n v="2226"/>
    <n v="636"/>
  </r>
  <r>
    <d v="2022-03-24T00:00:00"/>
    <s v="P19"/>
    <x v="1"/>
    <s v="Revendeur"/>
    <n v="23"/>
    <n v="382"/>
    <n v="534"/>
    <n v="12282"/>
    <n v="3496"/>
  </r>
  <r>
    <d v="2022-03-30T00:00:00"/>
    <s v="P14"/>
    <x v="2"/>
    <s v="Poste express"/>
    <n v="18"/>
    <n v="427"/>
    <n v="597"/>
    <n v="10746"/>
    <n v="3060"/>
  </r>
  <r>
    <d v="2022-03-30T00:00:00"/>
    <s v="P20"/>
    <x v="2"/>
    <s v="Frêt avion"/>
    <n v="19"/>
    <n v="300"/>
    <n v="420"/>
    <n v="7980"/>
    <n v="2280"/>
  </r>
  <r>
    <d v="2022-04-05T00:00:00"/>
    <s v="P15"/>
    <x v="0"/>
    <s v="Revendeur"/>
    <n v="6"/>
    <n v="224"/>
    <n v="313"/>
    <n v="1878"/>
    <n v="534"/>
  </r>
  <r>
    <d v="2022-04-05T00:00:00"/>
    <s v="P7"/>
    <x v="0"/>
    <s v="Revendeur"/>
    <n v="24"/>
    <n v="472"/>
    <n v="660"/>
    <n v="15840"/>
    <n v="4512"/>
  </r>
  <r>
    <d v="2022-04-11T00:00:00"/>
    <s v="P16"/>
    <x v="0"/>
    <s v="Poste normal"/>
    <n v="14"/>
    <n v="270"/>
    <n v="378"/>
    <n v="5292"/>
    <n v="1512"/>
  </r>
  <r>
    <d v="2022-04-11T00:00:00"/>
    <s v="P8"/>
    <x v="2"/>
    <s v="Poste normal"/>
    <n v="21"/>
    <n v="213"/>
    <n v="298"/>
    <n v="6258"/>
    <n v="1785"/>
  </r>
  <r>
    <d v="2022-04-17T00:00:00"/>
    <s v="P17"/>
    <x v="1"/>
    <s v="Retrait"/>
    <n v="5"/>
    <n v="385"/>
    <n v="539"/>
    <n v="2695"/>
    <n v="770"/>
  </r>
  <r>
    <d v="2022-04-17T00:00:00"/>
    <s v="P9"/>
    <x v="2"/>
    <s v="Revendeur"/>
    <n v="20"/>
    <n v="478"/>
    <n v="669"/>
    <n v="13380"/>
    <n v="3820"/>
  </r>
  <r>
    <d v="2022-04-23T00:00:00"/>
    <s v="P18"/>
    <x v="2"/>
    <s v="Poste normal"/>
    <n v="16"/>
    <n v="105"/>
    <n v="147"/>
    <n v="2352"/>
    <n v="672"/>
  </r>
  <r>
    <d v="2022-04-23T00:00:00"/>
    <s v="P10"/>
    <x v="2"/>
    <s v="Frêt avion"/>
    <n v="22"/>
    <n v="362"/>
    <n v="506"/>
    <n v="11132"/>
    <n v="3168"/>
  </r>
  <r>
    <d v="2022-04-29T00:00:00"/>
    <s v="P19"/>
    <x v="0"/>
    <s v="Revendeur"/>
    <n v="8"/>
    <n v="382"/>
    <n v="534"/>
    <n v="4272"/>
    <n v="1216"/>
  </r>
  <r>
    <d v="2022-04-29T00:00:00"/>
    <s v="P11"/>
    <x v="0"/>
    <s v="Poste normal"/>
    <n v="10"/>
    <n v="434"/>
    <n v="607"/>
    <n v="6070"/>
    <n v="1730"/>
  </r>
  <r>
    <d v="2022-05-05T00:00:00"/>
    <s v="P20"/>
    <x v="3"/>
    <s v="Revendeur"/>
    <n v="21"/>
    <n v="300"/>
    <n v="420"/>
    <n v="8820"/>
    <n v="2520"/>
  </r>
  <r>
    <d v="2022-05-05T00:00:00"/>
    <s v="P12"/>
    <x v="0"/>
    <s v="Retrait"/>
    <n v="19"/>
    <n v="407"/>
    <n v="569"/>
    <n v="10811"/>
    <n v="3078"/>
  </r>
  <r>
    <d v="2022-05-11T00:00:00"/>
    <s v="P1"/>
    <x v="1"/>
    <s v="Frêt avion"/>
    <n v="13"/>
    <n v="360"/>
    <n v="504"/>
    <n v="6552"/>
    <n v="1872"/>
  </r>
  <r>
    <d v="2022-05-11T00:00:00"/>
    <s v="P13"/>
    <x v="3"/>
    <s v="Poste normal"/>
    <n v="14"/>
    <n v="265"/>
    <n v="371"/>
    <n v="5194"/>
    <n v="1484"/>
  </r>
  <r>
    <d v="2022-05-17T00:00:00"/>
    <s v="P2"/>
    <x v="2"/>
    <s v="Poste express"/>
    <n v="5"/>
    <n v="228"/>
    <n v="319"/>
    <n v="1595"/>
    <n v="455"/>
  </r>
  <r>
    <d v="2022-05-17T00:00:00"/>
    <s v="P14"/>
    <x v="3"/>
    <s v="Frêt avion"/>
    <n v="8"/>
    <n v="427"/>
    <n v="597"/>
    <n v="4776"/>
    <n v="1360"/>
  </r>
  <r>
    <d v="2022-05-23T00:00:00"/>
    <s v="P3"/>
    <x v="3"/>
    <s v="Frêt avion"/>
    <n v="18"/>
    <n v="474"/>
    <n v="663"/>
    <n v="11934"/>
    <n v="3402"/>
  </r>
  <r>
    <d v="2022-05-23T00:00:00"/>
    <s v="P15"/>
    <x v="2"/>
    <s v="Revendeur"/>
    <n v="10"/>
    <n v="224"/>
    <n v="313"/>
    <n v="3130"/>
    <n v="890"/>
  </r>
  <r>
    <d v="2022-05-29T00:00:00"/>
    <s v="P4"/>
    <x v="0"/>
    <s v="Poste express"/>
    <n v="18"/>
    <n v="206"/>
    <n v="288"/>
    <n v="5184"/>
    <n v="1476"/>
  </r>
  <r>
    <d v="2022-05-29T00:00:00"/>
    <s v="P1"/>
    <x v="3"/>
    <s v="Retrait"/>
    <n v="19"/>
    <n v="360"/>
    <n v="504"/>
    <n v="9576"/>
    <n v="2736"/>
  </r>
  <r>
    <d v="2022-06-04T00:00:00"/>
    <s v="P5"/>
    <x v="0"/>
    <s v="Revendeur"/>
    <n v="7"/>
    <n v="278"/>
    <n v="389"/>
    <n v="2723"/>
    <n v="777"/>
  </r>
  <r>
    <d v="2022-06-04T00:00:00"/>
    <s v="P2"/>
    <x v="3"/>
    <s v="Frêt avion"/>
    <n v="14"/>
    <n v="228"/>
    <n v="319"/>
    <n v="4466"/>
    <n v="1274"/>
  </r>
  <r>
    <d v="2022-06-10T00:00:00"/>
    <s v="P6"/>
    <x v="3"/>
    <s v="Retrait"/>
    <n v="16"/>
    <n v="255"/>
    <n v="357"/>
    <n v="5712"/>
    <n v="1632"/>
  </r>
  <r>
    <d v="2022-06-10T00:00:00"/>
    <s v="P3"/>
    <x v="2"/>
    <s v="Retrait"/>
    <n v="8"/>
    <n v="474"/>
    <n v="663"/>
    <n v="5304"/>
    <n v="1512"/>
  </r>
  <r>
    <d v="2022-06-16T00:00:00"/>
    <s v="P7"/>
    <x v="1"/>
    <s v="Poste express"/>
    <n v="24"/>
    <n v="472"/>
    <n v="660"/>
    <n v="15840"/>
    <n v="4512"/>
  </r>
  <r>
    <d v="2022-06-16T00:00:00"/>
    <s v="P4"/>
    <x v="2"/>
    <s v="Poste normal"/>
    <n v="10"/>
    <n v="206"/>
    <n v="288"/>
    <n v="2880"/>
    <n v="820"/>
  </r>
  <r>
    <d v="2022-06-22T00:00:00"/>
    <s v="P8"/>
    <x v="2"/>
    <s v="Frêt avion"/>
    <n v="8"/>
    <n v="213"/>
    <n v="298"/>
    <n v="2384"/>
    <n v="680"/>
  </r>
  <r>
    <d v="2022-06-22T00:00:00"/>
    <s v="P5"/>
    <x v="2"/>
    <s v="Poste normal"/>
    <n v="10"/>
    <n v="278"/>
    <n v="389"/>
    <n v="3890"/>
    <n v="1110"/>
  </r>
  <r>
    <d v="2022-06-28T00:00:00"/>
    <s v="P9"/>
    <x v="2"/>
    <s v="Poste express"/>
    <n v="21"/>
    <n v="478"/>
    <n v="669"/>
    <n v="14049"/>
    <n v="4011"/>
  </r>
  <r>
    <d v="2022-06-28T00:00:00"/>
    <s v="P6"/>
    <x v="2"/>
    <s v="Poste normal"/>
    <n v="19"/>
    <n v="255"/>
    <n v="357"/>
    <n v="6783"/>
    <n v="1938"/>
  </r>
  <r>
    <d v="2022-07-04T00:00:00"/>
    <s v="P10"/>
    <x v="2"/>
    <s v="Retrait"/>
    <n v="13"/>
    <n v="362"/>
    <n v="506"/>
    <n v="6578"/>
    <n v="1872"/>
  </r>
  <r>
    <d v="2022-07-04T00:00:00"/>
    <s v="P7"/>
    <x v="3"/>
    <s v="Poste express"/>
    <n v="14"/>
    <n v="472"/>
    <n v="660"/>
    <n v="9240"/>
    <n v="2632"/>
  </r>
  <r>
    <d v="2022-07-10T00:00:00"/>
    <s v="P11"/>
    <x v="0"/>
    <s v="Frêt avion"/>
    <n v="5"/>
    <n v="434"/>
    <n v="607"/>
    <n v="3035"/>
    <n v="865"/>
  </r>
  <r>
    <d v="2022-07-10T00:00:00"/>
    <s v="P8"/>
    <x v="2"/>
    <s v="Poste express"/>
    <n v="8"/>
    <n v="213"/>
    <n v="298"/>
    <n v="2384"/>
    <n v="680"/>
  </r>
  <r>
    <d v="2022-07-16T00:00:00"/>
    <s v="P12"/>
    <x v="2"/>
    <s v="Revendeur"/>
    <n v="7"/>
    <n v="407"/>
    <n v="569"/>
    <n v="3983"/>
    <n v="1134"/>
  </r>
  <r>
    <d v="2022-07-16T00:00:00"/>
    <s v="P9"/>
    <x v="0"/>
    <s v="Frêt avion"/>
    <n v="15"/>
    <n v="478"/>
    <n v="669"/>
    <n v="10035"/>
    <n v="2865"/>
  </r>
  <r>
    <d v="2022-07-22T00:00:00"/>
    <s v="P13"/>
    <x v="3"/>
    <s v="Poste express"/>
    <n v="25"/>
    <n v="265"/>
    <n v="371"/>
    <n v="9275"/>
    <n v="2650"/>
  </r>
  <r>
    <d v="2022-07-22T00:00:00"/>
    <s v="P10"/>
    <x v="2"/>
    <s v="Revendeur"/>
    <n v="23"/>
    <n v="362"/>
    <n v="506"/>
    <n v="11638"/>
    <n v="3312"/>
  </r>
  <r>
    <d v="2022-07-28T00:00:00"/>
    <s v="P14"/>
    <x v="1"/>
    <s v="Poste express"/>
    <n v="23"/>
    <n v="427"/>
    <n v="597"/>
    <n v="13731"/>
    <n v="3910"/>
  </r>
  <r>
    <d v="2022-07-28T00:00:00"/>
    <s v="P11"/>
    <x v="3"/>
    <s v="Revendeur"/>
    <n v="19"/>
    <n v="434"/>
    <n v="607"/>
    <n v="11533"/>
    <n v="3287"/>
  </r>
  <r>
    <d v="2022-08-03T00:00:00"/>
    <s v="P15"/>
    <x v="3"/>
    <s v="Revendeur"/>
    <n v="11"/>
    <n v="224"/>
    <n v="313"/>
    <n v="3443"/>
    <n v="979"/>
  </r>
  <r>
    <d v="2022-08-03T00:00:00"/>
    <s v="P12"/>
    <x v="1"/>
    <s v="Poste normal"/>
    <n v="23"/>
    <n v="407"/>
    <n v="569"/>
    <n v="13087"/>
    <n v="3726"/>
  </r>
  <r>
    <d v="2022-08-09T00:00:00"/>
    <s v="P16"/>
    <x v="2"/>
    <s v="Revendeur"/>
    <n v="20"/>
    <n v="270"/>
    <n v="378"/>
    <n v="7560"/>
    <n v="2160"/>
  </r>
  <r>
    <d v="2022-08-09T00:00:00"/>
    <s v="P13"/>
    <x v="1"/>
    <s v="Poste normal"/>
    <n v="23"/>
    <n v="265"/>
    <n v="371"/>
    <n v="8533"/>
    <n v="2438"/>
  </r>
  <r>
    <d v="2022-08-15T00:00:00"/>
    <s v="P17"/>
    <x v="3"/>
    <s v="Retrait"/>
    <n v="15"/>
    <n v="385"/>
    <n v="539"/>
    <n v="8085"/>
    <n v="2310"/>
  </r>
  <r>
    <d v="2022-08-15T00:00:00"/>
    <s v="P14"/>
    <x v="1"/>
    <s v="Poste express"/>
    <n v="8"/>
    <n v="427"/>
    <n v="597"/>
    <n v="4776"/>
    <n v="1360"/>
  </r>
  <r>
    <d v="2022-08-21T00:00:00"/>
    <s v="P18"/>
    <x v="1"/>
    <s v="Revendeur"/>
    <n v="10"/>
    <n v="105"/>
    <n v="147"/>
    <n v="1470"/>
    <n v="420"/>
  </r>
  <r>
    <d v="2022-08-21T00:00:00"/>
    <s v="P15"/>
    <x v="3"/>
    <s v="Frêt avion"/>
    <n v="21"/>
    <n v="224"/>
    <n v="313"/>
    <n v="6573"/>
    <n v="1869"/>
  </r>
  <r>
    <d v="2022-08-21T00:00:00"/>
    <s v="P18"/>
    <x v="0"/>
    <s v="Poste normal"/>
    <n v="19"/>
    <n v="105"/>
    <n v="147"/>
    <n v="2793"/>
    <n v="798"/>
  </r>
  <r>
    <d v="2022-08-27T00:00:00"/>
    <s v="P19"/>
    <x v="2"/>
    <s v="Poste normal"/>
    <n v="13"/>
    <n v="382"/>
    <n v="534"/>
    <n v="6942"/>
    <n v="1976"/>
  </r>
  <r>
    <d v="2022-08-27T00:00:00"/>
    <s v="P16"/>
    <x v="0"/>
    <s v="Revendeur"/>
    <n v="14"/>
    <n v="270"/>
    <n v="378"/>
    <n v="5292"/>
    <n v="1512"/>
  </r>
  <r>
    <d v="2022-08-27T00:00:00"/>
    <s v="P19"/>
    <x v="0"/>
    <s v="Poste express"/>
    <n v="5"/>
    <n v="382"/>
    <n v="534"/>
    <n v="2670"/>
    <n v="760"/>
  </r>
  <r>
    <d v="2022-09-02T00:00:00"/>
    <s v="P20"/>
    <x v="0"/>
    <s v="Poste normal"/>
    <n v="8"/>
    <n v="300"/>
    <n v="420"/>
    <n v="3360"/>
    <n v="960"/>
  </r>
  <r>
    <d v="2022-09-02T00:00:00"/>
    <s v="P17"/>
    <x v="1"/>
    <s v="Retrait"/>
    <n v="20"/>
    <n v="385"/>
    <n v="539"/>
    <n v="10780"/>
    <n v="3080"/>
  </r>
  <r>
    <d v="2022-09-02T00:00:00"/>
    <s v="P20"/>
    <x v="3"/>
    <s v="Poste normal"/>
    <n v="11"/>
    <n v="300"/>
    <n v="420"/>
    <n v="4620"/>
    <n v="13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x v="0"/>
    <x v="0"/>
    <x v="0"/>
    <x v="0"/>
    <n v="8"/>
    <n v="360"/>
    <n v="504"/>
    <x v="0"/>
    <n v="1152"/>
  </r>
  <r>
    <x v="0"/>
    <x v="0"/>
    <x v="1"/>
    <x v="1"/>
    <n v="4"/>
    <n v="360"/>
    <n v="504"/>
    <x v="1"/>
    <n v="576"/>
  </r>
  <r>
    <x v="1"/>
    <x v="1"/>
    <x v="2"/>
    <x v="0"/>
    <n v="7"/>
    <n v="228"/>
    <n v="319"/>
    <x v="2"/>
    <n v="637"/>
  </r>
  <r>
    <x v="1"/>
    <x v="1"/>
    <x v="1"/>
    <x v="2"/>
    <n v="2"/>
    <n v="228"/>
    <n v="319"/>
    <x v="3"/>
    <n v="182"/>
  </r>
  <r>
    <x v="2"/>
    <x v="2"/>
    <x v="3"/>
    <x v="3"/>
    <n v="9"/>
    <n v="474"/>
    <n v="663"/>
    <x v="4"/>
    <n v="1701"/>
  </r>
  <r>
    <x v="2"/>
    <x v="2"/>
    <x v="0"/>
    <x v="3"/>
    <n v="5"/>
    <n v="474"/>
    <n v="663"/>
    <x v="5"/>
    <n v="945"/>
  </r>
  <r>
    <x v="3"/>
    <x v="3"/>
    <x v="1"/>
    <x v="4"/>
    <n v="11"/>
    <n v="206"/>
    <n v="288"/>
    <x v="6"/>
    <n v="902"/>
  </r>
  <r>
    <x v="3"/>
    <x v="3"/>
    <x v="3"/>
    <x v="4"/>
    <n v="12"/>
    <n v="206"/>
    <n v="288"/>
    <x v="7"/>
    <n v="984"/>
  </r>
  <r>
    <x v="4"/>
    <x v="4"/>
    <x v="2"/>
    <x v="1"/>
    <n v="23"/>
    <n v="278"/>
    <n v="389"/>
    <x v="8"/>
    <n v="2553"/>
  </r>
  <r>
    <x v="4"/>
    <x v="4"/>
    <x v="1"/>
    <x v="0"/>
    <n v="14"/>
    <n v="278"/>
    <n v="389"/>
    <x v="9"/>
    <n v="1554"/>
  </r>
  <r>
    <x v="5"/>
    <x v="5"/>
    <x v="3"/>
    <x v="3"/>
    <n v="20"/>
    <n v="255"/>
    <n v="357"/>
    <x v="10"/>
    <n v="2040"/>
  </r>
  <r>
    <x v="5"/>
    <x v="5"/>
    <x v="1"/>
    <x v="1"/>
    <n v="5"/>
    <n v="255"/>
    <n v="357"/>
    <x v="11"/>
    <n v="510"/>
  </r>
  <r>
    <x v="6"/>
    <x v="6"/>
    <x v="1"/>
    <x v="4"/>
    <n v="12"/>
    <n v="472"/>
    <n v="660"/>
    <x v="12"/>
    <n v="2256"/>
  </r>
  <r>
    <x v="6"/>
    <x v="6"/>
    <x v="1"/>
    <x v="0"/>
    <n v="12"/>
    <n v="472"/>
    <n v="660"/>
    <x v="12"/>
    <n v="2256"/>
  </r>
  <r>
    <x v="7"/>
    <x v="7"/>
    <x v="0"/>
    <x v="1"/>
    <n v="10"/>
    <n v="213"/>
    <n v="298"/>
    <x v="13"/>
    <n v="850"/>
  </r>
  <r>
    <x v="7"/>
    <x v="7"/>
    <x v="2"/>
    <x v="4"/>
    <n v="5"/>
    <n v="213"/>
    <n v="298"/>
    <x v="14"/>
    <n v="425"/>
  </r>
  <r>
    <x v="8"/>
    <x v="8"/>
    <x v="0"/>
    <x v="3"/>
    <n v="24"/>
    <n v="478"/>
    <n v="669"/>
    <x v="15"/>
    <n v="4584"/>
  </r>
  <r>
    <x v="8"/>
    <x v="8"/>
    <x v="3"/>
    <x v="4"/>
    <n v="10"/>
    <n v="478"/>
    <n v="669"/>
    <x v="16"/>
    <n v="1910"/>
  </r>
  <r>
    <x v="9"/>
    <x v="9"/>
    <x v="0"/>
    <x v="2"/>
    <n v="14"/>
    <n v="362"/>
    <n v="506"/>
    <x v="17"/>
    <n v="2016"/>
  </r>
  <r>
    <x v="9"/>
    <x v="9"/>
    <x v="0"/>
    <x v="3"/>
    <n v="19"/>
    <n v="362"/>
    <n v="506"/>
    <x v="18"/>
    <n v="2736"/>
  </r>
  <r>
    <x v="10"/>
    <x v="10"/>
    <x v="2"/>
    <x v="3"/>
    <n v="13"/>
    <n v="434"/>
    <n v="607"/>
    <x v="19"/>
    <n v="2249"/>
  </r>
  <r>
    <x v="10"/>
    <x v="10"/>
    <x v="2"/>
    <x v="3"/>
    <n v="14"/>
    <n v="434"/>
    <n v="607"/>
    <x v="20"/>
    <n v="2422"/>
  </r>
  <r>
    <x v="11"/>
    <x v="11"/>
    <x v="2"/>
    <x v="2"/>
    <n v="4"/>
    <n v="407"/>
    <n v="569"/>
    <x v="21"/>
    <n v="648"/>
  </r>
  <r>
    <x v="11"/>
    <x v="11"/>
    <x v="2"/>
    <x v="4"/>
    <n v="8"/>
    <n v="407"/>
    <n v="569"/>
    <x v="22"/>
    <n v="1296"/>
  </r>
  <r>
    <x v="12"/>
    <x v="12"/>
    <x v="0"/>
    <x v="1"/>
    <n v="14"/>
    <n v="265"/>
    <n v="371"/>
    <x v="23"/>
    <n v="1484"/>
  </r>
  <r>
    <x v="12"/>
    <x v="0"/>
    <x v="1"/>
    <x v="1"/>
    <n v="10"/>
    <n v="360"/>
    <n v="504"/>
    <x v="24"/>
    <n v="1440"/>
  </r>
  <r>
    <x v="13"/>
    <x v="13"/>
    <x v="3"/>
    <x v="0"/>
    <n v="5"/>
    <n v="427"/>
    <n v="597"/>
    <x v="25"/>
    <n v="850"/>
  </r>
  <r>
    <x v="13"/>
    <x v="1"/>
    <x v="2"/>
    <x v="0"/>
    <n v="13"/>
    <n v="228"/>
    <n v="319"/>
    <x v="26"/>
    <n v="1183"/>
  </r>
  <r>
    <x v="14"/>
    <x v="14"/>
    <x v="0"/>
    <x v="4"/>
    <n v="12"/>
    <n v="224"/>
    <n v="313"/>
    <x v="27"/>
    <n v="1068"/>
  </r>
  <r>
    <x v="14"/>
    <x v="2"/>
    <x v="2"/>
    <x v="3"/>
    <n v="5"/>
    <n v="474"/>
    <n v="663"/>
    <x v="5"/>
    <n v="945"/>
  </r>
  <r>
    <x v="15"/>
    <x v="15"/>
    <x v="0"/>
    <x v="0"/>
    <n v="5"/>
    <n v="270"/>
    <n v="378"/>
    <x v="28"/>
    <n v="540"/>
  </r>
  <r>
    <x v="15"/>
    <x v="3"/>
    <x v="3"/>
    <x v="2"/>
    <n v="8"/>
    <n v="206"/>
    <n v="288"/>
    <x v="29"/>
    <n v="656"/>
  </r>
  <r>
    <x v="16"/>
    <x v="16"/>
    <x v="1"/>
    <x v="2"/>
    <n v="7"/>
    <n v="385"/>
    <n v="539"/>
    <x v="30"/>
    <n v="1078"/>
  </r>
  <r>
    <x v="16"/>
    <x v="4"/>
    <x v="3"/>
    <x v="0"/>
    <n v="6"/>
    <n v="278"/>
    <n v="389"/>
    <x v="31"/>
    <n v="666"/>
  </r>
  <r>
    <x v="17"/>
    <x v="17"/>
    <x v="1"/>
    <x v="0"/>
    <n v="9"/>
    <n v="105"/>
    <n v="147"/>
    <x v="32"/>
    <n v="378"/>
  </r>
  <r>
    <x v="17"/>
    <x v="5"/>
    <x v="1"/>
    <x v="3"/>
    <n v="5"/>
    <n v="255"/>
    <n v="357"/>
    <x v="11"/>
    <n v="510"/>
  </r>
  <r>
    <x v="18"/>
    <x v="18"/>
    <x v="1"/>
    <x v="3"/>
    <n v="14"/>
    <n v="382"/>
    <n v="534"/>
    <x v="33"/>
    <n v="2128"/>
  </r>
  <r>
    <x v="18"/>
    <x v="6"/>
    <x v="2"/>
    <x v="2"/>
    <n v="23"/>
    <n v="472"/>
    <n v="660"/>
    <x v="34"/>
    <n v="4324"/>
  </r>
  <r>
    <x v="19"/>
    <x v="19"/>
    <x v="3"/>
    <x v="1"/>
    <n v="8"/>
    <n v="300"/>
    <n v="420"/>
    <x v="35"/>
    <n v="960"/>
  </r>
  <r>
    <x v="19"/>
    <x v="7"/>
    <x v="0"/>
    <x v="2"/>
    <n v="24"/>
    <n v="213"/>
    <n v="298"/>
    <x v="36"/>
    <n v="2040"/>
  </r>
  <r>
    <x v="20"/>
    <x v="0"/>
    <x v="1"/>
    <x v="2"/>
    <n v="10"/>
    <n v="360"/>
    <n v="504"/>
    <x v="24"/>
    <n v="1440"/>
  </r>
  <r>
    <x v="20"/>
    <x v="8"/>
    <x v="0"/>
    <x v="0"/>
    <n v="21"/>
    <n v="478"/>
    <n v="669"/>
    <x v="37"/>
    <n v="4011"/>
  </r>
  <r>
    <x v="21"/>
    <x v="1"/>
    <x v="2"/>
    <x v="4"/>
    <n v="13"/>
    <n v="228"/>
    <n v="319"/>
    <x v="26"/>
    <n v="1183"/>
  </r>
  <r>
    <x v="21"/>
    <x v="9"/>
    <x v="0"/>
    <x v="2"/>
    <n v="20"/>
    <n v="362"/>
    <n v="506"/>
    <x v="38"/>
    <n v="2880"/>
  </r>
  <r>
    <x v="22"/>
    <x v="2"/>
    <x v="3"/>
    <x v="4"/>
    <n v="5"/>
    <n v="474"/>
    <n v="663"/>
    <x v="5"/>
    <n v="945"/>
  </r>
  <r>
    <x v="22"/>
    <x v="10"/>
    <x v="2"/>
    <x v="3"/>
    <n v="22"/>
    <n v="434"/>
    <n v="607"/>
    <x v="39"/>
    <n v="3806"/>
  </r>
  <r>
    <x v="23"/>
    <x v="3"/>
    <x v="1"/>
    <x v="2"/>
    <n v="12"/>
    <n v="206"/>
    <n v="288"/>
    <x v="7"/>
    <n v="984"/>
  </r>
  <r>
    <x v="23"/>
    <x v="11"/>
    <x v="2"/>
    <x v="0"/>
    <n v="14"/>
    <n v="407"/>
    <n v="569"/>
    <x v="40"/>
    <n v="2268"/>
  </r>
  <r>
    <x v="24"/>
    <x v="4"/>
    <x v="1"/>
    <x v="2"/>
    <n v="11"/>
    <n v="278"/>
    <n v="389"/>
    <x v="41"/>
    <n v="1221"/>
  </r>
  <r>
    <x v="24"/>
    <x v="12"/>
    <x v="3"/>
    <x v="1"/>
    <n v="5"/>
    <n v="265"/>
    <n v="371"/>
    <x v="42"/>
    <n v="530"/>
  </r>
  <r>
    <x v="25"/>
    <x v="5"/>
    <x v="1"/>
    <x v="4"/>
    <n v="5"/>
    <n v="255"/>
    <n v="357"/>
    <x v="11"/>
    <n v="510"/>
  </r>
  <r>
    <x v="25"/>
    <x v="13"/>
    <x v="3"/>
    <x v="1"/>
    <n v="2"/>
    <n v="427"/>
    <n v="597"/>
    <x v="43"/>
    <n v="340"/>
  </r>
  <r>
    <x v="26"/>
    <x v="6"/>
    <x v="0"/>
    <x v="1"/>
    <n v="3"/>
    <n v="472"/>
    <n v="660"/>
    <x v="44"/>
    <n v="564"/>
  </r>
  <r>
    <x v="26"/>
    <x v="14"/>
    <x v="0"/>
    <x v="1"/>
    <n v="5"/>
    <n v="224"/>
    <n v="313"/>
    <x v="45"/>
    <n v="445"/>
  </r>
  <r>
    <x v="27"/>
    <x v="7"/>
    <x v="3"/>
    <x v="4"/>
    <n v="9"/>
    <n v="213"/>
    <n v="298"/>
    <x v="46"/>
    <n v="765"/>
  </r>
  <r>
    <x v="27"/>
    <x v="15"/>
    <x v="2"/>
    <x v="4"/>
    <n v="1"/>
    <n v="270"/>
    <n v="378"/>
    <x v="47"/>
    <n v="108"/>
  </r>
  <r>
    <x v="28"/>
    <x v="8"/>
    <x v="3"/>
    <x v="2"/>
    <n v="3"/>
    <n v="478"/>
    <n v="669"/>
    <x v="48"/>
    <n v="573"/>
  </r>
  <r>
    <x v="28"/>
    <x v="16"/>
    <x v="3"/>
    <x v="2"/>
    <n v="9"/>
    <n v="385"/>
    <n v="539"/>
    <x v="49"/>
    <n v="1386"/>
  </r>
  <r>
    <x v="29"/>
    <x v="9"/>
    <x v="1"/>
    <x v="1"/>
    <n v="3"/>
    <n v="362"/>
    <n v="506"/>
    <x v="50"/>
    <n v="432"/>
  </r>
  <r>
    <x v="29"/>
    <x v="17"/>
    <x v="0"/>
    <x v="1"/>
    <n v="4"/>
    <n v="105"/>
    <n v="147"/>
    <x v="51"/>
    <n v="168"/>
  </r>
  <r>
    <x v="30"/>
    <x v="10"/>
    <x v="1"/>
    <x v="0"/>
    <n v="7"/>
    <n v="434"/>
    <n v="607"/>
    <x v="52"/>
    <n v="1211"/>
  </r>
  <r>
    <x v="30"/>
    <x v="18"/>
    <x v="0"/>
    <x v="3"/>
    <n v="8"/>
    <n v="382"/>
    <n v="534"/>
    <x v="53"/>
    <n v="1216"/>
  </r>
  <r>
    <x v="31"/>
    <x v="19"/>
    <x v="0"/>
    <x v="4"/>
    <n v="1"/>
    <n v="300"/>
    <n v="420"/>
    <x v="54"/>
    <n v="120"/>
  </r>
  <r>
    <x v="32"/>
    <x v="12"/>
    <x v="0"/>
    <x v="3"/>
    <n v="6"/>
    <n v="265"/>
    <n v="371"/>
    <x v="55"/>
    <n v="636"/>
  </r>
  <r>
    <x v="32"/>
    <x v="9"/>
    <x v="2"/>
    <x v="2"/>
    <n v="2"/>
    <n v="362"/>
    <n v="506"/>
    <x v="56"/>
    <n v="288"/>
  </r>
  <r>
    <x v="33"/>
    <x v="13"/>
    <x v="1"/>
    <x v="4"/>
    <n v="3"/>
    <n v="427"/>
    <n v="597"/>
    <x v="57"/>
    <n v="510"/>
  </r>
  <r>
    <x v="33"/>
    <x v="10"/>
    <x v="1"/>
    <x v="3"/>
    <n v="5"/>
    <n v="434"/>
    <n v="607"/>
    <x v="58"/>
    <n v="865"/>
  </r>
  <r>
    <x v="34"/>
    <x v="14"/>
    <x v="3"/>
    <x v="4"/>
    <n v="3"/>
    <n v="224"/>
    <n v="313"/>
    <x v="59"/>
    <n v="267"/>
  </r>
  <r>
    <x v="35"/>
    <x v="15"/>
    <x v="3"/>
    <x v="3"/>
    <n v="6"/>
    <n v="270"/>
    <n v="378"/>
    <x v="60"/>
    <n v="648"/>
  </r>
  <r>
    <x v="36"/>
    <x v="16"/>
    <x v="0"/>
    <x v="1"/>
    <n v="11"/>
    <n v="385"/>
    <n v="539"/>
    <x v="61"/>
    <n v="1694"/>
  </r>
  <r>
    <x v="37"/>
    <x v="17"/>
    <x v="0"/>
    <x v="3"/>
    <n v="24"/>
    <n v="105"/>
    <n v="147"/>
    <x v="62"/>
    <n v="1008"/>
  </r>
  <r>
    <x v="38"/>
    <x v="18"/>
    <x v="3"/>
    <x v="1"/>
    <n v="7"/>
    <n v="382"/>
    <n v="534"/>
    <x v="63"/>
    <n v="1064"/>
  </r>
  <r>
    <x v="39"/>
    <x v="19"/>
    <x v="0"/>
    <x v="3"/>
    <n v="13"/>
    <n v="300"/>
    <n v="420"/>
    <x v="64"/>
    <n v="1560"/>
  </r>
  <r>
    <x v="40"/>
    <x v="11"/>
    <x v="2"/>
    <x v="0"/>
    <n v="24"/>
    <n v="407"/>
    <n v="569"/>
    <x v="65"/>
    <n v="3888"/>
  </r>
  <r>
    <x v="41"/>
    <x v="12"/>
    <x v="3"/>
    <x v="2"/>
    <n v="21"/>
    <n v="265"/>
    <n v="371"/>
    <x v="66"/>
    <n v="2226"/>
  </r>
  <r>
    <x v="42"/>
    <x v="13"/>
    <x v="3"/>
    <x v="1"/>
    <n v="20"/>
    <n v="427"/>
    <n v="597"/>
    <x v="67"/>
    <n v="3400"/>
  </r>
  <r>
    <x v="43"/>
    <x v="14"/>
    <x v="1"/>
    <x v="0"/>
    <n v="22"/>
    <n v="224"/>
    <n v="313"/>
    <x v="68"/>
    <n v="1958"/>
  </r>
  <r>
    <x v="44"/>
    <x v="15"/>
    <x v="3"/>
    <x v="2"/>
    <n v="14"/>
    <n v="270"/>
    <n v="378"/>
    <x v="69"/>
    <n v="1512"/>
  </r>
  <r>
    <x v="44"/>
    <x v="16"/>
    <x v="2"/>
    <x v="4"/>
    <n v="5"/>
    <n v="385"/>
    <n v="539"/>
    <x v="70"/>
    <n v="770"/>
  </r>
  <r>
    <x v="45"/>
    <x v="17"/>
    <x v="0"/>
    <x v="2"/>
    <n v="12"/>
    <n v="105"/>
    <n v="147"/>
    <x v="71"/>
    <n v="504"/>
  </r>
  <r>
    <x v="46"/>
    <x v="11"/>
    <x v="3"/>
    <x v="3"/>
    <n v="20"/>
    <n v="407"/>
    <n v="569"/>
    <x v="72"/>
    <n v="3240"/>
  </r>
  <r>
    <x v="47"/>
    <x v="0"/>
    <x v="2"/>
    <x v="0"/>
    <n v="19"/>
    <n v="360"/>
    <n v="504"/>
    <x v="73"/>
    <n v="2736"/>
  </r>
  <r>
    <x v="48"/>
    <x v="1"/>
    <x v="3"/>
    <x v="0"/>
    <n v="10"/>
    <n v="228"/>
    <n v="319"/>
    <x v="74"/>
    <n v="910"/>
  </r>
  <r>
    <x v="48"/>
    <x v="18"/>
    <x v="0"/>
    <x v="1"/>
    <n v="5"/>
    <n v="382"/>
    <n v="534"/>
    <x v="75"/>
    <n v="760"/>
  </r>
  <r>
    <x v="49"/>
    <x v="2"/>
    <x v="0"/>
    <x v="3"/>
    <n v="8"/>
    <n v="474"/>
    <n v="663"/>
    <x v="76"/>
    <n v="1512"/>
  </r>
  <r>
    <x v="49"/>
    <x v="19"/>
    <x v="0"/>
    <x v="0"/>
    <n v="10"/>
    <n v="300"/>
    <n v="420"/>
    <x v="77"/>
    <n v="1200"/>
  </r>
  <r>
    <x v="50"/>
    <x v="3"/>
    <x v="0"/>
    <x v="2"/>
    <n v="21"/>
    <n v="206"/>
    <n v="288"/>
    <x v="78"/>
    <n v="1722"/>
  </r>
  <r>
    <x v="50"/>
    <x v="9"/>
    <x v="1"/>
    <x v="0"/>
    <n v="19"/>
    <n v="362"/>
    <n v="506"/>
    <x v="18"/>
    <n v="2736"/>
  </r>
  <r>
    <x v="51"/>
    <x v="4"/>
    <x v="0"/>
    <x v="0"/>
    <n v="13"/>
    <n v="278"/>
    <n v="389"/>
    <x v="79"/>
    <n v="1443"/>
  </r>
  <r>
    <x v="51"/>
    <x v="10"/>
    <x v="0"/>
    <x v="4"/>
    <n v="14"/>
    <n v="434"/>
    <n v="607"/>
    <x v="20"/>
    <n v="2422"/>
  </r>
  <r>
    <x v="52"/>
    <x v="5"/>
    <x v="3"/>
    <x v="2"/>
    <n v="5"/>
    <n v="255"/>
    <n v="357"/>
    <x v="11"/>
    <n v="510"/>
  </r>
  <r>
    <x v="52"/>
    <x v="11"/>
    <x v="0"/>
    <x v="1"/>
    <n v="8"/>
    <n v="407"/>
    <n v="569"/>
    <x v="22"/>
    <n v="1296"/>
  </r>
  <r>
    <x v="53"/>
    <x v="6"/>
    <x v="1"/>
    <x v="3"/>
    <n v="17"/>
    <n v="472"/>
    <n v="660"/>
    <x v="80"/>
    <n v="3196"/>
  </r>
  <r>
    <x v="53"/>
    <x v="12"/>
    <x v="2"/>
    <x v="0"/>
    <n v="10"/>
    <n v="265"/>
    <n v="371"/>
    <x v="81"/>
    <n v="1060"/>
  </r>
  <r>
    <x v="54"/>
    <x v="7"/>
    <x v="3"/>
    <x v="0"/>
    <n v="19"/>
    <n v="213"/>
    <n v="298"/>
    <x v="82"/>
    <n v="1615"/>
  </r>
  <r>
    <x v="54"/>
    <x v="13"/>
    <x v="2"/>
    <x v="3"/>
    <n v="8"/>
    <n v="427"/>
    <n v="597"/>
    <x v="83"/>
    <n v="1360"/>
  </r>
  <r>
    <x v="55"/>
    <x v="8"/>
    <x v="1"/>
    <x v="2"/>
    <n v="10"/>
    <n v="478"/>
    <n v="669"/>
    <x v="16"/>
    <n v="1910"/>
  </r>
  <r>
    <x v="55"/>
    <x v="14"/>
    <x v="3"/>
    <x v="1"/>
    <n v="21"/>
    <n v="224"/>
    <n v="313"/>
    <x v="84"/>
    <n v="1869"/>
  </r>
  <r>
    <x v="56"/>
    <x v="9"/>
    <x v="1"/>
    <x v="2"/>
    <n v="19"/>
    <n v="362"/>
    <n v="506"/>
    <x v="18"/>
    <n v="2736"/>
  </r>
  <r>
    <x v="56"/>
    <x v="15"/>
    <x v="1"/>
    <x v="4"/>
    <n v="13"/>
    <n v="270"/>
    <n v="378"/>
    <x v="85"/>
    <n v="1404"/>
  </r>
  <r>
    <x v="57"/>
    <x v="10"/>
    <x v="0"/>
    <x v="2"/>
    <n v="14"/>
    <n v="434"/>
    <n v="607"/>
    <x v="20"/>
    <n v="2422"/>
  </r>
  <r>
    <x v="57"/>
    <x v="16"/>
    <x v="0"/>
    <x v="3"/>
    <n v="5"/>
    <n v="385"/>
    <n v="539"/>
    <x v="70"/>
    <n v="770"/>
  </r>
  <r>
    <x v="58"/>
    <x v="11"/>
    <x v="2"/>
    <x v="0"/>
    <n v="8"/>
    <n v="407"/>
    <n v="569"/>
    <x v="22"/>
    <n v="1296"/>
  </r>
  <r>
    <x v="58"/>
    <x v="17"/>
    <x v="3"/>
    <x v="2"/>
    <n v="15"/>
    <n v="105"/>
    <n v="147"/>
    <x v="86"/>
    <n v="630"/>
  </r>
  <r>
    <x v="59"/>
    <x v="12"/>
    <x v="0"/>
    <x v="1"/>
    <n v="6"/>
    <n v="265"/>
    <n v="371"/>
    <x v="55"/>
    <n v="636"/>
  </r>
  <r>
    <x v="59"/>
    <x v="18"/>
    <x v="1"/>
    <x v="3"/>
    <n v="23"/>
    <n v="382"/>
    <n v="534"/>
    <x v="87"/>
    <n v="3496"/>
  </r>
  <r>
    <x v="60"/>
    <x v="13"/>
    <x v="2"/>
    <x v="0"/>
    <n v="18"/>
    <n v="427"/>
    <n v="597"/>
    <x v="88"/>
    <n v="3060"/>
  </r>
  <r>
    <x v="60"/>
    <x v="19"/>
    <x v="2"/>
    <x v="4"/>
    <n v="19"/>
    <n v="300"/>
    <n v="420"/>
    <x v="89"/>
    <n v="2280"/>
  </r>
  <r>
    <x v="61"/>
    <x v="14"/>
    <x v="0"/>
    <x v="3"/>
    <n v="6"/>
    <n v="224"/>
    <n v="313"/>
    <x v="90"/>
    <n v="534"/>
  </r>
  <r>
    <x v="61"/>
    <x v="6"/>
    <x v="0"/>
    <x v="3"/>
    <n v="24"/>
    <n v="472"/>
    <n v="660"/>
    <x v="91"/>
    <n v="4512"/>
  </r>
  <r>
    <x v="62"/>
    <x v="15"/>
    <x v="0"/>
    <x v="1"/>
    <n v="14"/>
    <n v="270"/>
    <n v="378"/>
    <x v="69"/>
    <n v="1512"/>
  </r>
  <r>
    <x v="62"/>
    <x v="7"/>
    <x v="2"/>
    <x v="1"/>
    <n v="21"/>
    <n v="213"/>
    <n v="298"/>
    <x v="92"/>
    <n v="1785"/>
  </r>
  <r>
    <x v="63"/>
    <x v="16"/>
    <x v="1"/>
    <x v="2"/>
    <n v="5"/>
    <n v="385"/>
    <n v="539"/>
    <x v="70"/>
    <n v="770"/>
  </r>
  <r>
    <x v="63"/>
    <x v="8"/>
    <x v="2"/>
    <x v="3"/>
    <n v="20"/>
    <n v="478"/>
    <n v="669"/>
    <x v="93"/>
    <n v="3820"/>
  </r>
  <r>
    <x v="64"/>
    <x v="17"/>
    <x v="2"/>
    <x v="1"/>
    <n v="16"/>
    <n v="105"/>
    <n v="147"/>
    <x v="94"/>
    <n v="672"/>
  </r>
  <r>
    <x v="64"/>
    <x v="9"/>
    <x v="2"/>
    <x v="4"/>
    <n v="22"/>
    <n v="362"/>
    <n v="506"/>
    <x v="95"/>
    <n v="3168"/>
  </r>
  <r>
    <x v="65"/>
    <x v="18"/>
    <x v="0"/>
    <x v="3"/>
    <n v="8"/>
    <n v="382"/>
    <n v="534"/>
    <x v="53"/>
    <n v="1216"/>
  </r>
  <r>
    <x v="65"/>
    <x v="10"/>
    <x v="0"/>
    <x v="1"/>
    <n v="10"/>
    <n v="434"/>
    <n v="607"/>
    <x v="96"/>
    <n v="1730"/>
  </r>
  <r>
    <x v="66"/>
    <x v="19"/>
    <x v="3"/>
    <x v="3"/>
    <n v="21"/>
    <n v="300"/>
    <n v="420"/>
    <x v="97"/>
    <n v="2520"/>
  </r>
  <r>
    <x v="66"/>
    <x v="11"/>
    <x v="0"/>
    <x v="2"/>
    <n v="19"/>
    <n v="407"/>
    <n v="569"/>
    <x v="98"/>
    <n v="3078"/>
  </r>
  <r>
    <x v="67"/>
    <x v="0"/>
    <x v="1"/>
    <x v="4"/>
    <n v="13"/>
    <n v="360"/>
    <n v="504"/>
    <x v="99"/>
    <n v="1872"/>
  </r>
  <r>
    <x v="67"/>
    <x v="12"/>
    <x v="3"/>
    <x v="1"/>
    <n v="14"/>
    <n v="265"/>
    <n v="371"/>
    <x v="23"/>
    <n v="1484"/>
  </r>
  <r>
    <x v="68"/>
    <x v="1"/>
    <x v="2"/>
    <x v="0"/>
    <n v="5"/>
    <n v="228"/>
    <n v="319"/>
    <x v="100"/>
    <n v="455"/>
  </r>
  <r>
    <x v="68"/>
    <x v="13"/>
    <x v="3"/>
    <x v="4"/>
    <n v="8"/>
    <n v="427"/>
    <n v="597"/>
    <x v="83"/>
    <n v="1360"/>
  </r>
  <r>
    <x v="69"/>
    <x v="2"/>
    <x v="3"/>
    <x v="4"/>
    <n v="18"/>
    <n v="474"/>
    <n v="663"/>
    <x v="101"/>
    <n v="3402"/>
  </r>
  <r>
    <x v="69"/>
    <x v="14"/>
    <x v="2"/>
    <x v="3"/>
    <n v="10"/>
    <n v="224"/>
    <n v="313"/>
    <x v="102"/>
    <n v="890"/>
  </r>
  <r>
    <x v="70"/>
    <x v="3"/>
    <x v="0"/>
    <x v="0"/>
    <n v="18"/>
    <n v="206"/>
    <n v="288"/>
    <x v="103"/>
    <n v="1476"/>
  </r>
  <r>
    <x v="70"/>
    <x v="0"/>
    <x v="3"/>
    <x v="2"/>
    <n v="19"/>
    <n v="360"/>
    <n v="504"/>
    <x v="73"/>
    <n v="2736"/>
  </r>
  <r>
    <x v="71"/>
    <x v="4"/>
    <x v="0"/>
    <x v="3"/>
    <n v="7"/>
    <n v="278"/>
    <n v="389"/>
    <x v="104"/>
    <n v="777"/>
  </r>
  <r>
    <x v="71"/>
    <x v="1"/>
    <x v="3"/>
    <x v="4"/>
    <n v="14"/>
    <n v="228"/>
    <n v="319"/>
    <x v="105"/>
    <n v="1274"/>
  </r>
  <r>
    <x v="72"/>
    <x v="5"/>
    <x v="3"/>
    <x v="2"/>
    <n v="16"/>
    <n v="255"/>
    <n v="357"/>
    <x v="106"/>
    <n v="1632"/>
  </r>
  <r>
    <x v="72"/>
    <x v="2"/>
    <x v="2"/>
    <x v="2"/>
    <n v="8"/>
    <n v="474"/>
    <n v="663"/>
    <x v="76"/>
    <n v="1512"/>
  </r>
  <r>
    <x v="73"/>
    <x v="6"/>
    <x v="1"/>
    <x v="0"/>
    <n v="24"/>
    <n v="472"/>
    <n v="660"/>
    <x v="91"/>
    <n v="4512"/>
  </r>
  <r>
    <x v="73"/>
    <x v="3"/>
    <x v="2"/>
    <x v="1"/>
    <n v="10"/>
    <n v="206"/>
    <n v="288"/>
    <x v="107"/>
    <n v="820"/>
  </r>
  <r>
    <x v="74"/>
    <x v="7"/>
    <x v="2"/>
    <x v="4"/>
    <n v="8"/>
    <n v="213"/>
    <n v="298"/>
    <x v="108"/>
    <n v="680"/>
  </r>
  <r>
    <x v="74"/>
    <x v="4"/>
    <x v="2"/>
    <x v="1"/>
    <n v="10"/>
    <n v="278"/>
    <n v="389"/>
    <x v="109"/>
    <n v="1110"/>
  </r>
  <r>
    <x v="75"/>
    <x v="8"/>
    <x v="2"/>
    <x v="0"/>
    <n v="21"/>
    <n v="478"/>
    <n v="669"/>
    <x v="37"/>
    <n v="4011"/>
  </r>
  <r>
    <x v="75"/>
    <x v="5"/>
    <x v="2"/>
    <x v="1"/>
    <n v="19"/>
    <n v="255"/>
    <n v="357"/>
    <x v="110"/>
    <n v="1938"/>
  </r>
  <r>
    <x v="76"/>
    <x v="9"/>
    <x v="2"/>
    <x v="2"/>
    <n v="13"/>
    <n v="362"/>
    <n v="506"/>
    <x v="111"/>
    <n v="1872"/>
  </r>
  <r>
    <x v="76"/>
    <x v="6"/>
    <x v="3"/>
    <x v="0"/>
    <n v="14"/>
    <n v="472"/>
    <n v="660"/>
    <x v="112"/>
    <n v="2632"/>
  </r>
  <r>
    <x v="77"/>
    <x v="10"/>
    <x v="0"/>
    <x v="4"/>
    <n v="5"/>
    <n v="434"/>
    <n v="607"/>
    <x v="58"/>
    <n v="865"/>
  </r>
  <r>
    <x v="77"/>
    <x v="7"/>
    <x v="2"/>
    <x v="0"/>
    <n v="8"/>
    <n v="213"/>
    <n v="298"/>
    <x v="108"/>
    <n v="680"/>
  </r>
  <r>
    <x v="78"/>
    <x v="11"/>
    <x v="2"/>
    <x v="3"/>
    <n v="7"/>
    <n v="407"/>
    <n v="569"/>
    <x v="113"/>
    <n v="1134"/>
  </r>
  <r>
    <x v="78"/>
    <x v="8"/>
    <x v="0"/>
    <x v="4"/>
    <n v="15"/>
    <n v="478"/>
    <n v="669"/>
    <x v="114"/>
    <n v="2865"/>
  </r>
  <r>
    <x v="79"/>
    <x v="12"/>
    <x v="3"/>
    <x v="0"/>
    <n v="25"/>
    <n v="265"/>
    <n v="371"/>
    <x v="115"/>
    <n v="2650"/>
  </r>
  <r>
    <x v="79"/>
    <x v="9"/>
    <x v="2"/>
    <x v="3"/>
    <n v="23"/>
    <n v="362"/>
    <n v="506"/>
    <x v="116"/>
    <n v="3312"/>
  </r>
  <r>
    <x v="80"/>
    <x v="13"/>
    <x v="1"/>
    <x v="0"/>
    <n v="23"/>
    <n v="427"/>
    <n v="597"/>
    <x v="117"/>
    <n v="3910"/>
  </r>
  <r>
    <x v="80"/>
    <x v="10"/>
    <x v="3"/>
    <x v="3"/>
    <n v="19"/>
    <n v="434"/>
    <n v="607"/>
    <x v="118"/>
    <n v="3287"/>
  </r>
  <r>
    <x v="81"/>
    <x v="14"/>
    <x v="3"/>
    <x v="3"/>
    <n v="11"/>
    <n v="224"/>
    <n v="313"/>
    <x v="119"/>
    <n v="979"/>
  </r>
  <r>
    <x v="81"/>
    <x v="11"/>
    <x v="1"/>
    <x v="1"/>
    <n v="23"/>
    <n v="407"/>
    <n v="569"/>
    <x v="120"/>
    <n v="3726"/>
  </r>
  <r>
    <x v="82"/>
    <x v="15"/>
    <x v="2"/>
    <x v="3"/>
    <n v="20"/>
    <n v="270"/>
    <n v="378"/>
    <x v="121"/>
    <n v="2160"/>
  </r>
  <r>
    <x v="82"/>
    <x v="12"/>
    <x v="1"/>
    <x v="1"/>
    <n v="23"/>
    <n v="265"/>
    <n v="371"/>
    <x v="122"/>
    <n v="2438"/>
  </r>
  <r>
    <x v="83"/>
    <x v="16"/>
    <x v="3"/>
    <x v="2"/>
    <n v="15"/>
    <n v="385"/>
    <n v="539"/>
    <x v="123"/>
    <n v="2310"/>
  </r>
  <r>
    <x v="83"/>
    <x v="13"/>
    <x v="1"/>
    <x v="0"/>
    <n v="8"/>
    <n v="427"/>
    <n v="597"/>
    <x v="83"/>
    <n v="1360"/>
  </r>
  <r>
    <x v="84"/>
    <x v="17"/>
    <x v="1"/>
    <x v="3"/>
    <n v="10"/>
    <n v="105"/>
    <n v="147"/>
    <x v="124"/>
    <n v="420"/>
  </r>
  <r>
    <x v="84"/>
    <x v="14"/>
    <x v="3"/>
    <x v="4"/>
    <n v="21"/>
    <n v="224"/>
    <n v="313"/>
    <x v="84"/>
    <n v="1869"/>
  </r>
  <r>
    <x v="84"/>
    <x v="17"/>
    <x v="0"/>
    <x v="1"/>
    <n v="19"/>
    <n v="105"/>
    <n v="147"/>
    <x v="125"/>
    <n v="798"/>
  </r>
  <r>
    <x v="85"/>
    <x v="18"/>
    <x v="2"/>
    <x v="1"/>
    <n v="13"/>
    <n v="382"/>
    <n v="534"/>
    <x v="126"/>
    <n v="1976"/>
  </r>
  <r>
    <x v="85"/>
    <x v="15"/>
    <x v="0"/>
    <x v="3"/>
    <n v="14"/>
    <n v="270"/>
    <n v="378"/>
    <x v="69"/>
    <n v="1512"/>
  </r>
  <r>
    <x v="85"/>
    <x v="18"/>
    <x v="0"/>
    <x v="0"/>
    <n v="5"/>
    <n v="382"/>
    <n v="534"/>
    <x v="75"/>
    <n v="760"/>
  </r>
  <r>
    <x v="86"/>
    <x v="19"/>
    <x v="0"/>
    <x v="1"/>
    <n v="8"/>
    <n v="300"/>
    <n v="420"/>
    <x v="35"/>
    <n v="960"/>
  </r>
  <r>
    <x v="86"/>
    <x v="16"/>
    <x v="1"/>
    <x v="2"/>
    <n v="20"/>
    <n v="385"/>
    <n v="539"/>
    <x v="127"/>
    <n v="3080"/>
  </r>
  <r>
    <x v="86"/>
    <x v="19"/>
    <x v="3"/>
    <x v="1"/>
    <n v="11"/>
    <n v="300"/>
    <n v="420"/>
    <x v="128"/>
    <n v="13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6C22F-9ECC-44B3-982A-11CF4CB2F40E}" name="tcd_VentesSegments" cacheId="11" applyNumberFormats="0" applyBorderFormats="0" applyFontFormats="0" applyPatternFormats="0" applyAlignmentFormats="0" applyWidthHeightFormats="1" dataCaption="Valeurs" updatedVersion="8" minRefreshableVersion="3" showDrill="0" useAutoFormatting="1" itemPrintTitles="1" createdVersion="8" indent="0" showHeaders="0" compact="0" compactData="0" multipleFieldFilters="0" chartFormat="13" colHeaderCaption="cols">
  <location ref="A3:D15" firstHeaderRow="1" firstDataRow="2" firstDataCol="1"/>
  <pivotFields count="13">
    <pivotField compact="0" numFmtId="14" outline="0" subtotalTop="0" showAll="0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m="1" x="87"/>
        <item m="1" x="101"/>
        <item m="1" x="102"/>
        <item m="1" x="88"/>
        <item m="1" x="103"/>
        <item m="1" x="89"/>
        <item m="1" x="104"/>
        <item m="1" x="90"/>
        <item m="1" x="91"/>
        <item m="1" x="92"/>
        <item m="1" x="93"/>
        <item m="1" x="94"/>
        <item m="1" x="95"/>
        <item m="1" x="105"/>
        <item m="1" x="96"/>
        <item m="1" x="97"/>
        <item m="1" x="98"/>
        <item m="1" x="99"/>
        <item m="1" x="100"/>
        <item x="40"/>
        <item x="41"/>
        <item x="42"/>
        <item x="43"/>
        <item x="44"/>
        <item x="45"/>
        <item x="46"/>
        <item t="default"/>
      </items>
    </pivotField>
    <pivotField compact="0" outline="0" subtotalTop="0" showAll="0">
      <items count="2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"/>
        <item x="3"/>
        <item x="4"/>
        <item x="5"/>
        <item x="6"/>
        <item x="7"/>
        <item x="8"/>
        <item t="default"/>
      </items>
    </pivotField>
    <pivotField compact="0" outline="0" subtotalTop="0" showAll="0">
      <items count="5">
        <item h="1" x="3"/>
        <item h="1" x="0"/>
        <item h="1" x="2"/>
        <item x="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numFmtId="164" outline="0" subtotalTop="0" showAll="0"/>
    <pivotField compact="0" numFmtId="164" outline="0" subtotalTop="0" showAll="0"/>
    <pivotField name="Mois" axis="axisRow" compact="0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ubtotalTop="0" showAll="0">
      <items count="7">
        <item x="0"/>
        <item x="1"/>
        <item x="2"/>
        <item x="3"/>
        <item x="4"/>
        <item x="5"/>
        <item t="default"/>
      </items>
    </pivotField>
    <pivotField name="Années" axis="axisCol" compact="0" outline="0" subtotalTop="0" showAll="0">
      <items count="5">
        <item x="0"/>
        <item x="1"/>
        <item x="2"/>
        <item x="3"/>
        <item t="default"/>
      </items>
    </pivotField>
    <pivotField compact="0" outline="0" subtotalTop="0" dragToRow="0" dragToCol="0" dragToPage="0" showAll="0" defaultSubtotal="0"/>
  </pivotFields>
  <rowFields count="1">
    <field x="9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 t="grand">
      <x/>
    </i>
  </rowItems>
  <colFields count="1">
    <field x="11"/>
  </colFields>
  <colItems count="3">
    <i>
      <x v="1"/>
    </i>
    <i>
      <x v="2"/>
    </i>
    <i t="grand">
      <x/>
    </i>
  </colItems>
  <dataFields count="1">
    <dataField name="Total " fld="7" baseField="1" baseItem="0"/>
  </dataFields>
  <formats count="1">
    <format dxfId="60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Medium1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E85E64-C3DA-4D98-9F67-D92C71E3C3E8}" name="tcd_prodAnnee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>
  <location ref="A1:C19" firstHeaderRow="0" firstDataRow="1" firstDataCol="1"/>
  <pivotFields count="13">
    <pivotField numFmtId="14" showAll="0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m="1" x="87"/>
        <item m="1" x="101"/>
        <item m="1" x="102"/>
        <item m="1" x="88"/>
        <item m="1" x="103"/>
        <item m="1" x="89"/>
        <item m="1" x="104"/>
        <item m="1" x="90"/>
        <item m="1" x="91"/>
        <item m="1" x="92"/>
        <item m="1" x="93"/>
        <item m="1" x="94"/>
        <item m="1" x="95"/>
        <item m="1" x="105"/>
        <item m="1" x="96"/>
        <item m="1" x="97"/>
        <item m="1" x="98"/>
        <item m="1" x="99"/>
        <item m="1" x="100"/>
        <item x="40"/>
        <item x="41"/>
        <item x="42"/>
        <item x="43"/>
        <item x="44"/>
        <item x="45"/>
        <item x="46"/>
        <item t="default"/>
      </items>
    </pivotField>
    <pivotField showAll="0"/>
    <pivotField showAll="0"/>
    <pivotField showAll="0"/>
    <pivotField showAll="0"/>
    <pivotField showAll="0"/>
    <pivotField showAll="0"/>
    <pivotField axis="axisRow" numFmtId="16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</pivotFields>
  <rowFields count="1">
    <field x="7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Marge" fld="8" baseField="0" baseItem="0"/>
    <dataField name="Marge%" fld="8" showDataAs="percentOfTotal" baseField="5" baseItem="3" numFmtId="10"/>
  </dataFields>
  <conditionalFormats count="2"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7" count="17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17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chartFormats count="5">
    <chartFormat chart="2" format="38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8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82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2" format="383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2" format="384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07429-AC7A-45E3-843A-5E76FB57E4A7}" name="tcd_Qte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6" colHeaderCaption="cols">
  <location ref="A1:D27" firstHeaderRow="0" firstDataRow="1" firstDataCol="1"/>
  <pivotFields count="13">
    <pivotField numFmtId="14" subtotalTop="0" showAll="0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m="1" x="87"/>
        <item m="1" x="101"/>
        <item m="1" x="102"/>
        <item m="1" x="88"/>
        <item m="1" x="103"/>
        <item m="1" x="89"/>
        <item m="1" x="104"/>
        <item m="1" x="90"/>
        <item m="1" x="91"/>
        <item m="1" x="92"/>
        <item m="1" x="93"/>
        <item m="1" x="94"/>
        <item m="1" x="95"/>
        <item m="1" x="105"/>
        <item m="1" x="96"/>
        <item m="1" x="97"/>
        <item m="1" x="98"/>
        <item m="1" x="99"/>
        <item m="1" x="100"/>
        <item x="40"/>
        <item x="41"/>
        <item x="42"/>
        <item x="43"/>
        <item x="44"/>
        <item x="45"/>
        <item x="46"/>
        <item t="default"/>
      </items>
    </pivotField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numFmtId="164" subtotalTop="0" showAll="0"/>
    <pivotField numFmtId="164" subtotalTop="0" showAll="0"/>
    <pivotField axis="axisRow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>
      <items count="7">
        <item x="0"/>
        <item x="1"/>
        <item x="2"/>
        <item x="3"/>
        <item x="4"/>
        <item x="5"/>
        <item t="default"/>
      </items>
    </pivotField>
    <pivotField axis="axisRow" subtotalTop="0" showAll="0">
      <items count="5">
        <item x="0"/>
        <item x="1"/>
        <item x="2"/>
        <item x="3"/>
        <item t="default"/>
      </items>
    </pivotField>
    <pivotField subtotalTop="0" dragToRow="0" dragToCol="0" dragToPage="0" showAll="0" defaultSubtotal="0"/>
  </pivotFields>
  <rowFields count="2">
    <field x="11"/>
    <field x="9"/>
  </rowFields>
  <rowItems count="2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Qté" fld="4" baseField="0" baseItem="0"/>
    <dataField name="Variation" fld="4" showDataAs="difference" baseField="9" baseItem="1048828"/>
    <dataField name="Cumul" fld="4" showDataAs="runTotal" baseField="9" baseItem="1"/>
  </dataFields>
  <chartFormats count="3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7CB85-A684-4680-A82F-F2A17FD56F82}" name="tcd_QteCombo" cacheId="11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 chartFormat="36" colHeaderCaption="cols">
  <location ref="A3:D26" firstHeaderRow="0" firstDataRow="1" firstDataCol="2"/>
  <pivotFields count="13">
    <pivotField compact="0" numFmtId="14" outline="0" subtotalTop="0" showAll="0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m="1" x="87"/>
        <item m="1" x="101"/>
        <item m="1" x="102"/>
        <item m="1" x="88"/>
        <item m="1" x="103"/>
        <item m="1" x="89"/>
        <item m="1" x="104"/>
        <item m="1" x="90"/>
        <item m="1" x="91"/>
        <item m="1" x="92"/>
        <item m="1" x="93"/>
        <item m="1" x="94"/>
        <item m="1" x="95"/>
        <item m="1" x="105"/>
        <item m="1" x="96"/>
        <item m="1" x="97"/>
        <item m="1" x="98"/>
        <item m="1" x="99"/>
        <item m="1" x="100"/>
        <item x="40"/>
        <item x="41"/>
        <item x="42"/>
        <item x="43"/>
        <item x="44"/>
        <item x="45"/>
        <item x="4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compact="0" numFmtId="164" outline="0" subtotalTop="0" showAll="0"/>
    <pivotField compact="0" numFmtId="164" outline="0" subtotalTop="0" showAll="0"/>
    <pivotField name="Mois" axis="axisRow" compact="0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ubtotalTop="0" showAll="0">
      <items count="7">
        <item x="0"/>
        <item x="1"/>
        <item x="2"/>
        <item x="3"/>
        <item x="4"/>
        <item x="5"/>
        <item t="default"/>
      </items>
    </pivotField>
    <pivotField name="Années" axis="axisRow" compact="0" outline="0" subtotalTop="0" showAll="0">
      <items count="5">
        <item x="0"/>
        <item x="1"/>
        <item x="2"/>
        <item x="3"/>
        <item t="default"/>
      </items>
    </pivotField>
    <pivotField compact="0" outline="0" subtotalTop="0" dragToRow="0" dragToCol="0" dragToPage="0" showAll="0" defaultSubtotal="0"/>
  </pivotFields>
  <rowFields count="2">
    <field x="11"/>
    <field x="9"/>
  </rowFields>
  <rowItems count="23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</rowItems>
  <colFields count="1">
    <field x="-2"/>
  </colFields>
  <colItems count="2">
    <i>
      <x/>
    </i>
    <i i="1">
      <x v="1"/>
    </i>
  </colItems>
  <dataFields count="2">
    <dataField name="Total Qté" fld="4" baseField="9" baseItem="1"/>
    <dataField name="Diff PY %" fld="4" showDataAs="percentDiff" baseField="11" baseItem="1048828" numFmtId="10"/>
  </dataFields>
  <chartFormats count="8"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E1408-221E-409B-89CA-9E5FE4DDEEB2}" name="tcd_Ventes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19" colHeaderCaption="cols">
  <location ref="A3:D27" firstHeaderRow="0" firstDataRow="1" firstDataCol="2"/>
  <pivotFields count="13">
    <pivotField compact="0" numFmtId="14" outline="0" subtotalTop="0" showAll="0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m="1" x="87"/>
        <item m="1" x="101"/>
        <item m="1" x="102"/>
        <item m="1" x="88"/>
        <item m="1" x="103"/>
        <item m="1" x="89"/>
        <item m="1" x="104"/>
        <item m="1" x="90"/>
        <item m="1" x="91"/>
        <item m="1" x="92"/>
        <item m="1" x="93"/>
        <item m="1" x="94"/>
        <item m="1" x="95"/>
        <item m="1" x="105"/>
        <item m="1" x="96"/>
        <item m="1" x="97"/>
        <item m="1" x="98"/>
        <item m="1" x="99"/>
        <item m="1" x="100"/>
        <item x="40"/>
        <item x="41"/>
        <item x="42"/>
        <item x="43"/>
        <item x="44"/>
        <item x="45"/>
        <item x="4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numFmtId="164" outline="0" subtotalTop="0" showAll="0"/>
    <pivotField compact="0" numFmtId="164" outline="0" subtotalTop="0" showAll="0"/>
    <pivotField name="Mois" axis="axisRow" compact="0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ubtotalTop="0" showAll="0">
      <items count="7">
        <item x="0"/>
        <item x="1"/>
        <item x="2"/>
        <item x="3"/>
        <item x="4"/>
        <item x="5"/>
        <item t="default"/>
      </items>
    </pivotField>
    <pivotField name="Années" axis="axisRow" compact="0" outline="0" subtotalTop="0" showAll="0">
      <items count="5">
        <item x="0"/>
        <item x="1"/>
        <item x="2"/>
        <item x="3"/>
        <item t="default"/>
      </items>
    </pivotField>
    <pivotField compact="0" outline="0" subtotalTop="0" dragToRow="0" dragToCol="0" dragToPage="0" showAll="0" defaultSubtotal="0"/>
  </pivotFields>
  <rowFields count="2">
    <field x="11"/>
    <field x="9"/>
  </rowFields>
  <rowItems count="2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" fld="7" baseField="1" baseItem="0"/>
    <dataField name="Δ% PY" fld="7" showDataAs="percentDiff" baseField="11" baseItem="1048828" numFmtId="10"/>
  </dataFields>
  <formats count="2">
    <format dxfId="59">
      <pivotArea outline="0" fieldPosition="0">
        <references count="1">
          <reference field="4294967294" count="1">
            <x v="0"/>
          </reference>
        </references>
      </pivotArea>
    </format>
    <format dxfId="58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1B297-213D-4B81-8D15-FCF4979639B7}" name="tcd_MoisTotal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7" colHeaderCaption="cols">
  <location ref="F3:G16" firstHeaderRow="1" firstDataRow="1" firstDataCol="1" rowPageCount="1" colPageCount="1"/>
  <pivotFields count="13">
    <pivotField numFmtId="14" subtotalTop="0" showAll="0" defaultSubtotal="0">
      <items count="1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m="1" x="87"/>
        <item m="1" x="101"/>
        <item m="1" x="102"/>
        <item m="1" x="88"/>
        <item m="1" x="103"/>
        <item m="1" x="89"/>
        <item m="1" x="104"/>
        <item m="1" x="90"/>
        <item m="1" x="91"/>
        <item m="1" x="92"/>
        <item m="1" x="93"/>
        <item m="1" x="94"/>
        <item m="1" x="95"/>
        <item m="1" x="105"/>
        <item m="1" x="96"/>
        <item m="1" x="97"/>
        <item m="1" x="98"/>
        <item m="1" x="99"/>
        <item m="1" x="100"/>
        <item x="40"/>
        <item x="41"/>
        <item x="42"/>
        <item x="43"/>
        <item x="44"/>
        <item x="45"/>
        <item x="46"/>
      </items>
    </pivotField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dataField="1" numFmtId="164" subtotalTop="0" showAll="0" defaultSubtotal="0"/>
    <pivotField numFmtId="164" subtotalTop="0" showAll="0" defaultSubtotal="0"/>
    <pivotField axis="axisRow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ubtotalTop="0" showAll="0" defaultSubtotal="0">
      <items count="6">
        <item x="0"/>
        <item x="1"/>
        <item x="2"/>
        <item x="3"/>
        <item x="4"/>
        <item x="5"/>
      </items>
    </pivotField>
    <pivotField axis="axisPage" subtotalTop="0" showAll="0" defaultSubtotal="0">
      <items count="4">
        <item x="0"/>
        <item x="1"/>
        <item x="2"/>
        <item x="3"/>
      </items>
    </pivotField>
    <pivotField subtotalTop="0" dragToRow="0" dragToCol="0" dragToPage="0" showAll="0" defaultSubtotal="0"/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1" item="1" hier="-1"/>
  </pageFields>
  <dataFields count="1">
    <dataField name="Total " fld="7" baseField="1" baseItem="0" numFmtId="165"/>
  </dataFields>
  <formats count="2">
    <format dxfId="50">
      <pivotArea outline="0" fieldPosition="0">
        <references count="1">
          <reference field="4294967294" count="1">
            <x v="0"/>
          </reference>
        </references>
      </pivotArea>
    </format>
    <format dxfId="4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C5F67-A574-4E37-8623-A9402469D257}" name="tcd_Diff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8" colHeaderCaption="cols">
  <location ref="J3:L16" firstHeaderRow="0" firstDataRow="1" firstDataCol="1" rowPageCount="1" colPageCount="1"/>
  <pivotFields count="13">
    <pivotField numFmtId="14" subtotalTop="0" showAll="0" defaultSubtotal="0">
      <items count="1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m="1" x="87"/>
        <item m="1" x="101"/>
        <item m="1" x="102"/>
        <item m="1" x="88"/>
        <item m="1" x="103"/>
        <item m="1" x="89"/>
        <item m="1" x="104"/>
        <item m="1" x="90"/>
        <item m="1" x="91"/>
        <item m="1" x="92"/>
        <item m="1" x="93"/>
        <item m="1" x="94"/>
        <item m="1" x="95"/>
        <item m="1" x="105"/>
        <item m="1" x="96"/>
        <item m="1" x="97"/>
        <item m="1" x="98"/>
        <item m="1" x="99"/>
        <item m="1" x="100"/>
        <item x="40"/>
        <item x="41"/>
        <item x="42"/>
        <item x="43"/>
        <item x="44"/>
        <item x="45"/>
        <item x="46"/>
      </items>
    </pivotField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dataField="1" numFmtId="164" subtotalTop="0" showAll="0" defaultSubtotal="0"/>
    <pivotField numFmtId="164" subtotalTop="0" showAll="0" defaultSubtotal="0"/>
    <pivotField axis="axisRow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ubtotalTop="0" showAll="0" defaultSubtotal="0">
      <items count="6">
        <item x="0"/>
        <item x="1"/>
        <item x="2"/>
        <item x="3"/>
        <item x="4"/>
        <item x="5"/>
      </items>
    </pivotField>
    <pivotField axis="axisPage" subtotalTop="0" showAll="0" defaultSubtotal="0">
      <items count="4">
        <item x="0"/>
        <item x="1"/>
        <item x="2"/>
        <item x="3"/>
      </items>
    </pivotField>
    <pivotField subtotalTop="0" dragToRow="0" dragToCol="0" dragToPage="0" showAll="0" defaultSubtotal="0"/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11" item="1" hier="-1"/>
  </pageFields>
  <dataFields count="2">
    <dataField name="DIff PM" fld="7" showDataAs="difference" baseField="9" baseItem="1048828" numFmtId="164"/>
    <dataField name="Diff PM %" fld="7" showDataAs="percentDiff" baseField="9" baseItem="1048828" numFmtId="10"/>
  </dataFields>
  <formats count="2">
    <format dxfId="52">
      <pivotArea outline="0" fieldPosition="0">
        <references count="1">
          <reference field="4294967294" count="1">
            <x v="0"/>
          </reference>
        </references>
      </pivotArea>
    </format>
    <format dxfId="51">
      <pivotArea outline="0" fieldPosition="0">
        <references count="1">
          <reference field="4294967294" count="1">
            <x v="1"/>
          </reference>
        </references>
      </pivotArea>
    </format>
  </formats>
  <chartFormats count="28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5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5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5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5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5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5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5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25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25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25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25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</chartFormats>
  <pivotTableStyleInfo name="PivotStyleMedium1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8158E-7C05-4494-852D-1A0584049AA2}" name="tcd_variationVentes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5" colHeaderCaption="cols">
  <location ref="A3:D16" firstHeaderRow="0" firstDataRow="1" firstDataCol="1" rowPageCount="1" colPageCount="1"/>
  <pivotFields count="13">
    <pivotField numFmtId="14" subtotalTop="0" showAll="0" defaultSubtotal="0">
      <items count="1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m="1" x="87"/>
        <item m="1" x="101"/>
        <item m="1" x="102"/>
        <item m="1" x="88"/>
        <item m="1" x="103"/>
        <item m="1" x="89"/>
        <item m="1" x="104"/>
        <item m="1" x="90"/>
        <item m="1" x="91"/>
        <item m="1" x="92"/>
        <item m="1" x="93"/>
        <item m="1" x="94"/>
        <item m="1" x="95"/>
        <item m="1" x="105"/>
        <item m="1" x="96"/>
        <item m="1" x="97"/>
        <item m="1" x="98"/>
        <item m="1" x="99"/>
        <item m="1" x="100"/>
        <item x="40"/>
        <item x="41"/>
        <item x="42"/>
        <item x="43"/>
        <item x="44"/>
        <item x="45"/>
        <item x="46"/>
      </items>
    </pivotField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dataField="1" numFmtId="164" subtotalTop="0" showAll="0" defaultSubtotal="0"/>
    <pivotField numFmtId="164" subtotalTop="0" showAll="0" defaultSubtotal="0"/>
    <pivotField axis="axisRow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ubtotalTop="0" showAll="0" defaultSubtotal="0">
      <items count="6">
        <item x="0"/>
        <item x="1"/>
        <item x="2"/>
        <item x="3"/>
        <item x="4"/>
        <item x="5"/>
      </items>
    </pivotField>
    <pivotField axis="axisPage" subtotalTop="0" showAll="0" defaultSubtotal="0">
      <items count="4">
        <item x="0"/>
        <item x="1"/>
        <item x="2"/>
        <item x="3"/>
      </items>
    </pivotField>
    <pivotField subtotalTop="0" dragToRow="0" dragToCol="0" dragToPage="0" showAll="0" defaultSubtotal="0"/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1" item="1" hier="-1"/>
  </pageFields>
  <dataFields count="3">
    <dataField name="Total " fld="7" baseField="1" baseItem="0" numFmtId="165"/>
    <dataField name="DIff PM" fld="7" showDataAs="difference" baseField="9" baseItem="1048828" numFmtId="164"/>
    <dataField name="Diff PM %" fld="7" showDataAs="percentDiff" baseField="9" baseItem="1048828" numFmtId="10"/>
  </dataFields>
  <formats count="4">
    <format dxfId="56">
      <pivotArea outline="0" fieldPosition="0">
        <references count="1">
          <reference field="4294967294" count="1">
            <x v="0"/>
          </reference>
        </references>
      </pivotArea>
    </format>
    <format dxfId="5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4">
      <pivotArea outline="0" fieldPosition="0">
        <references count="1">
          <reference field="4294967294" count="1">
            <x v="1"/>
          </reference>
        </references>
      </pivotArea>
    </format>
    <format dxfId="53">
      <pivotArea outline="0" fieldPosition="0">
        <references count="1">
          <reference field="4294967294" count="1">
            <x v="2"/>
          </reference>
        </references>
      </pivotArea>
    </format>
  </formats>
  <conditionalFormats count="1">
    <conditionalFormat priority="3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</conditional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B7A2F-D1E0-4E46-B2A4-9337E0552BAE}" name="tcd_DateRang" cacheId="11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18" colHeaderCaption="cols">
  <location ref="A3:D27" firstHeaderRow="0" firstDataRow="1" firstDataCol="1"/>
  <pivotFields count="13">
    <pivotField numFmtId="14" showAll="0" defaultSubtotal="0">
      <items count="1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m="1" x="87"/>
        <item m="1" x="101"/>
        <item m="1" x="102"/>
        <item m="1" x="88"/>
        <item m="1" x="103"/>
        <item m="1" x="89"/>
        <item m="1" x="104"/>
        <item m="1" x="90"/>
        <item m="1" x="91"/>
        <item m="1" x="92"/>
        <item m="1" x="93"/>
        <item m="1" x="94"/>
        <item m="1" x="95"/>
        <item m="1" x="105"/>
        <item m="1" x="96"/>
        <item m="1" x="97"/>
        <item m="1" x="98"/>
        <item m="1" x="99"/>
        <item m="1" x="100"/>
        <item x="40"/>
        <item x="41"/>
        <item x="42"/>
        <item x="43"/>
        <item x="44"/>
        <item x="45"/>
        <item x="46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4" showAll="0" defaultSubtotal="0"/>
    <pivotField numFmtId="164" showAll="0" defaultSubtotal="0"/>
    <pivotField name="Mois" axis="axisRow" showAll="0" sortType="descending" defaultSubtotal="0">
      <items count="14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name="Années" axis="axisRow" showAll="0" defaultSubtotal="0">
      <items count="4">
        <item sd="0" x="0"/>
        <item x="1"/>
        <item x="2"/>
        <item sd="0" x="3"/>
      </items>
    </pivotField>
    <pivotField subtotalTop="0" dragToRow="0" dragToCol="0" dragToPage="0" showAll="0" defaultSubtotal="0"/>
  </pivotFields>
  <rowFields count="2">
    <field x="11"/>
    <field x="9"/>
  </rowFields>
  <rowItems count="24">
    <i>
      <x v="1"/>
    </i>
    <i r="1">
      <x v="2"/>
    </i>
    <i r="1">
      <x v="5"/>
    </i>
    <i r="1">
      <x v="1"/>
    </i>
    <i r="1">
      <x v="4"/>
    </i>
    <i r="1">
      <x v="10"/>
    </i>
    <i r="1">
      <x v="3"/>
    </i>
    <i r="1">
      <x v="11"/>
    </i>
    <i r="1">
      <x v="7"/>
    </i>
    <i r="1">
      <x/>
    </i>
    <i r="1">
      <x v="6"/>
    </i>
    <i r="1">
      <x v="8"/>
    </i>
    <i r="1">
      <x v="9"/>
    </i>
    <i>
      <x v="2"/>
    </i>
    <i r="1">
      <x v="6"/>
    </i>
    <i r="1">
      <x v="7"/>
    </i>
    <i r="1">
      <x v="3"/>
    </i>
    <i r="1">
      <x v="4"/>
    </i>
    <i r="1">
      <x v="2"/>
    </i>
    <i r="1">
      <x v="5"/>
    </i>
    <i r="1">
      <x v="1"/>
    </i>
    <i r="1">
      <x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" fld="7" baseField="1" baseItem="0"/>
    <dataField name="% du total" fld="7" showDataAs="percentOfTotal" baseField="7" baseItem="1" numFmtId="10"/>
    <dataField name="Rang" fld="7" baseField="9" baseItem="70" numFmtId="164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3">
    <format dxfId="47">
      <pivotArea outline="0" fieldPosition="0">
        <references count="1">
          <reference field="4294967294" count="1">
            <x v="0"/>
          </reference>
        </references>
      </pivotArea>
    </format>
    <format dxfId="46">
      <pivotArea outline="0" fieldPosition="0">
        <references count="1">
          <reference field="4294967294" count="1">
            <x v="1"/>
          </reference>
        </references>
      </pivotArea>
    </format>
    <format dxfId="45">
      <pivotArea dataOnly="0" outline="0" fieldPosition="0">
        <references count="1">
          <reference field="4294967294" count="1">
            <x v="2"/>
          </reference>
        </references>
      </pivotArea>
    </format>
  </formats>
  <conditionalFormats count="1">
    <conditionalFormat type="all" priority="1">
      <pivotAreas count="3">
        <pivotArea type="data" collapsedLevelsAreSubtotals="1" fieldPosition="0">
          <references count="3">
            <reference field="4294967294" count="1" selected="0">
              <x v="1"/>
            </reference>
            <reference field="9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11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9" count="9">
              <x v="0"/>
              <x v="1"/>
              <x v="2"/>
              <x v="3"/>
              <x v="4"/>
              <x v="5"/>
              <x v="6"/>
              <x v="7"/>
              <x v="8"/>
            </reference>
            <reference field="11" count="1" selected="0">
              <x v="2"/>
            </reference>
          </references>
        </pivotArea>
      </pivotAreas>
    </conditionalFormat>
  </conditionalFormats>
  <chartFormats count="1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E0A80-43D7-4CC6-916E-7CE31C5574BE}" name="tcd_Ventes" cacheId="11" applyNumberFormats="0" applyBorderFormats="0" applyFontFormats="0" applyPatternFormats="0" applyAlignmentFormats="0" applyWidthHeightFormats="1" dataCaption="Valeurs" updatedVersion="8" minRefreshableVersion="5" showDrill="0" useAutoFormatting="1" itemPrintTitles="1" createdVersion="8" indent="0" showHeaders="0" compact="0" compactData="0" multipleFieldFilters="0" chartFormat="10" colHeaderCaption="cols">
  <location ref="A3:F27" firstHeaderRow="0" firstDataRow="1" firstDataCol="2"/>
  <pivotFields count="13">
    <pivotField compact="0" numFmtId="14" outline="0" subtotalTop="0" showAll="0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m="1" x="87"/>
        <item m="1" x="101"/>
        <item m="1" x="102"/>
        <item m="1" x="88"/>
        <item m="1" x="103"/>
        <item m="1" x="89"/>
        <item m="1" x="104"/>
        <item m="1" x="90"/>
        <item m="1" x="91"/>
        <item m="1" x="92"/>
        <item m="1" x="93"/>
        <item m="1" x="94"/>
        <item m="1" x="95"/>
        <item m="1" x="105"/>
        <item m="1" x="96"/>
        <item m="1" x="97"/>
        <item m="1" x="98"/>
        <item m="1" x="99"/>
        <item m="1" x="100"/>
        <item x="40"/>
        <item x="41"/>
        <item x="42"/>
        <item x="43"/>
        <item x="44"/>
        <item x="45"/>
        <item x="4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numFmtId="164" outline="0" subtotalTop="0" showAll="0"/>
    <pivotField compact="0" numFmtId="164" outline="0" subtotalTop="0" showAll="0"/>
    <pivotField name="Mois" axis="axisRow" compact="0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ubtotalTop="0" showAll="0">
      <items count="7">
        <item x="0"/>
        <item x="1"/>
        <item x="2"/>
        <item x="3"/>
        <item x="4"/>
        <item x="5"/>
        <item t="default"/>
      </items>
    </pivotField>
    <pivotField name="Années" axis="axisRow" compact="0" outline="0" subtotalTop="0" showAll="0">
      <items count="5">
        <item x="0"/>
        <item x="1"/>
        <item x="2"/>
        <item x="3"/>
        <item t="default"/>
      </items>
    </pivotField>
    <pivotField compact="0" outline="0" subtotalTop="0" dragToRow="0" dragToCol="0" dragToPage="0" showAll="0" defaultSubtotal="0"/>
  </pivotFields>
  <rowFields count="2">
    <field x="11"/>
    <field x="9"/>
  </rowFields>
  <rowItems count="2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" fld="7" baseField="1" baseItem="0"/>
    <dataField name="Somme de Total Vente" fld="7" baseField="7" baseItem="6" numFmtId="164"/>
    <dataField name="% de l'année" fld="7" baseField="7" baseItem="1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% du total" fld="7" showDataAs="percentOfTotal" baseField="7" baseItem="1" numFmtId="10"/>
  </dataFields>
  <formats count="3">
    <format dxfId="44">
      <pivotArea outline="0" fieldPosition="0">
        <references count="1">
          <reference field="4294967294" count="1">
            <x v="0"/>
          </reference>
        </references>
      </pivotArea>
    </format>
    <format dxfId="43">
      <pivotArea outline="0" fieldPosition="0">
        <references count="1">
          <reference field="4294967294" count="1">
            <x v="3"/>
          </reference>
        </references>
      </pivotArea>
    </format>
    <format dxfId="42">
      <pivotArea outline="0" fieldPosition="0">
        <references count="1">
          <reference field="4294967294" count="1">
            <x v="2"/>
          </reference>
        </references>
      </pivotArea>
    </format>
  </format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9" count="0" selected="0"/>
          </references>
        </pivotArea>
      </pivotAreas>
    </conditionalFormat>
  </conditional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1"/>
          </reference>
          <reference field="9" count="1" selected="0">
            <x v="8"/>
          </reference>
          <reference field="11" count="1" selected="0">
            <x v="2"/>
          </reference>
        </references>
      </pivotArea>
    </chartFormat>
  </chartFormats>
  <pivotTableStyleInfo name="PivotStyleMedium1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E725D-A70E-49DC-AA83-2D80DF02DA99}" name="tcd_prodAnnee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1:K24" firstHeaderRow="1" firstDataRow="3" firstDataCol="1"/>
  <pivotFields count="13">
    <pivotField numFmtId="14" showAll="0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m="1" x="87"/>
        <item m="1" x="101"/>
        <item m="1" x="102"/>
        <item m="1" x="88"/>
        <item m="1" x="103"/>
        <item m="1" x="89"/>
        <item m="1" x="104"/>
        <item m="1" x="90"/>
        <item m="1" x="91"/>
        <item m="1" x="92"/>
        <item m="1" x="93"/>
        <item m="1" x="94"/>
        <item m="1" x="95"/>
        <item m="1" x="105"/>
        <item m="1" x="96"/>
        <item m="1" x="97"/>
        <item m="1" x="98"/>
        <item m="1" x="99"/>
        <item m="1" x="100"/>
        <item x="40"/>
        <item x="41"/>
        <item x="42"/>
        <item x="43"/>
        <item x="44"/>
        <item x="45"/>
        <item x="46"/>
        <item t="default"/>
      </items>
    </pivotField>
    <pivotField axis="axisRow" showAll="0">
      <items count="21">
        <item x="6"/>
        <item x="8"/>
        <item x="9"/>
        <item x="10"/>
        <item x="11"/>
        <item x="0"/>
        <item x="1"/>
        <item x="2"/>
        <item x="3"/>
        <item x="4"/>
        <item x="5"/>
        <item x="7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2">
    <field x="11"/>
    <field x="10"/>
  </colFields>
  <colItems count="10">
    <i>
      <x v="1"/>
      <x v="1"/>
    </i>
    <i r="1">
      <x v="2"/>
    </i>
    <i r="1">
      <x v="3"/>
    </i>
    <i r="1">
      <x v="4"/>
    </i>
    <i t="default">
      <x v="1"/>
    </i>
    <i>
      <x v="2"/>
      <x v="1"/>
    </i>
    <i r="1">
      <x v="2"/>
    </i>
    <i r="1">
      <x v="3"/>
    </i>
    <i t="default">
      <x v="2"/>
    </i>
    <i t="grand">
      <x/>
    </i>
  </colItems>
  <dataFields count="1">
    <dataField name="Somme de Marge" fld="8" baseField="0" baseItem="0"/>
  </dataFields>
  <chartFormats count="9">
    <chartFormat chart="0" format="5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3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538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</references>
      </pivotArea>
    </chartFormat>
    <chartFormat chart="0" format="539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</references>
      </pivotArea>
    </chartFormat>
    <chartFormat chart="0" format="540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2"/>
          </reference>
        </references>
      </pivotArea>
    </chartFormat>
    <chartFormat chart="0" format="541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</references>
      </pivotArea>
    </chartFormat>
    <chartFormat chart="0" format="542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2"/>
          </reference>
        </references>
      </pivotArea>
    </chartFormat>
    <chartFormat chart="0" format="543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1"/>
          </reference>
        </references>
      </pivotArea>
    </chartFormat>
    <chartFormat chart="0" format="544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6165B-AA7E-417E-B739-40E8845956EE}" name="tcd_LivraisonCanal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5">
  <location ref="A1:F8" firstHeaderRow="1" firstDataRow="2" firstDataCol="1"/>
  <pivotFields count="13">
    <pivotField numFmtId="14" showAll="0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m="1" x="87"/>
        <item m="1" x="101"/>
        <item m="1" x="102"/>
        <item m="1" x="88"/>
        <item m="1" x="103"/>
        <item m="1" x="89"/>
        <item m="1" x="104"/>
        <item m="1" x="90"/>
        <item m="1" x="91"/>
        <item m="1" x="92"/>
        <item m="1" x="93"/>
        <item m="1" x="94"/>
        <item m="1" x="95"/>
        <item m="1" x="105"/>
        <item m="1" x="96"/>
        <item m="1" x="97"/>
        <item m="1" x="98"/>
        <item m="1" x="99"/>
        <item m="1" x="100"/>
        <item x="40"/>
        <item x="41"/>
        <item x="42"/>
        <item x="43"/>
        <item x="44"/>
        <item x="45"/>
        <item x="46"/>
        <item t="default"/>
      </items>
    </pivotField>
    <pivotField showAll="0"/>
    <pivotField axis="axisCol" showAll="0">
      <items count="5">
        <item x="3"/>
        <item x="0"/>
        <item x="2"/>
        <item x="1"/>
        <item t="default"/>
      </items>
    </pivotField>
    <pivotField axis="axisRow" showAll="0">
      <items count="7">
        <item n="Revendeur" m="1" x="5"/>
        <item x="4"/>
        <item x="0"/>
        <item x="1"/>
        <item x="2"/>
        <item n="Revendeur2" x="3"/>
        <item t="default"/>
      </items>
    </pivotField>
    <pivotField showAll="0"/>
    <pivotField showAll="0"/>
    <pivotField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</pivotFields>
  <rowFields count="1">
    <field x="3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omme de Marge" fld="8" baseField="0" baseItem="0"/>
  </dataFields>
  <chartFormats count="6">
    <chartFormat chart="0" format="5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5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5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5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F0580-530D-4C3E-8C9D-C5467E4DB4D0}" name="Tableau croisé dynamique3" cacheId="2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F1:I8" firstHeaderRow="0" firstDataRow="1" firstDataCol="1"/>
  <pivotFields count="11">
    <pivotField numFmtId="14" showAll="0" insertBlankRow="1"/>
    <pivotField showAll="0" insertBlankRow="1"/>
    <pivotField axis="axisRow" showAll="0" insertBlankRow="1">
      <items count="7">
        <item x="3"/>
        <item x="0"/>
        <item x="2"/>
        <item x="1"/>
        <item f="1" x="4"/>
        <item f="1" x="5"/>
        <item t="default"/>
      </items>
    </pivotField>
    <pivotField showAll="0" insertBlankRow="1"/>
    <pivotField showAll="0" insertBlankRow="1"/>
    <pivotField showAll="0" insertBlankRow="1"/>
    <pivotField showAll="0" insertBlankRow="1"/>
    <pivotField dataField="1" numFmtId="164" showAll="0" insertBlankRow="1"/>
    <pivotField numFmtId="164" showAll="0" insertBlankRow="1"/>
    <pivotField dataField="1" dragToRow="0" dragToCol="0" dragToPage="0" showAll="0" insertBlankRow="1" defaultSubtotal="0"/>
    <pivotField dataField="1" dragToRow="0" dragToCol="0" dragToPage="0" showAll="0" insertBlankRow="1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A" fld="7" baseField="2" baseItem="0" numFmtId="164"/>
    <dataField name=" TVA" fld="10" subtotal="max" baseField="2" baseItem="2"/>
    <dataField name="Somme de TTC" fld="9" baseField="2" baseItem="1" numFmtId="164"/>
  </dataFields>
  <formats count="2">
    <format dxfId="32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31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D0AAD-D22C-419D-9BF3-7EDF298D4E3B}" name="tcd_Marge" cacheId="2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:B8" firstHeaderRow="1" firstDataRow="1" firstDataCol="1"/>
  <pivotFields count="11">
    <pivotField numFmtId="14" showAll="0"/>
    <pivotField showAll="0"/>
    <pivotField axis="axisRow" showAll="0">
      <items count="7">
        <item x="3"/>
        <item x="0"/>
        <item x="2"/>
        <item x="1"/>
        <item f="1" x="4"/>
        <item f="1" x="5"/>
        <item t="default"/>
      </items>
    </pivotField>
    <pivotField showAll="0"/>
    <pivotField showAll="0"/>
    <pivotField showAll="0"/>
    <pivotField showAll="0"/>
    <pivotField numFmtId="164" showAll="0"/>
    <pivotField dataField="1" numFmtId="164"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Marge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E8B0F-530C-40DE-B19C-185186B4EBAE}" name="tcd_MargeAnnee" cacheId="11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>
  <location ref="A10:D16" firstHeaderRow="1" firstDataRow="2" firstDataCol="1"/>
  <pivotFields count="13">
    <pivotField numFmtId="14" showAll="0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m="1" x="87"/>
        <item m="1" x="101"/>
        <item m="1" x="102"/>
        <item m="1" x="88"/>
        <item m="1" x="103"/>
        <item m="1" x="89"/>
        <item m="1" x="104"/>
        <item m="1" x="90"/>
        <item m="1" x="91"/>
        <item m="1" x="92"/>
        <item m="1" x="93"/>
        <item m="1" x="94"/>
        <item m="1" x="95"/>
        <item m="1" x="105"/>
        <item m="1" x="96"/>
        <item m="1" x="97"/>
        <item m="1" x="98"/>
        <item m="1" x="99"/>
        <item m="1" x="100"/>
        <item t="default"/>
      </items>
    </pivotField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164" showAll="0"/>
    <pivotField dataField="1" numFmtId="164" showAll="0"/>
    <pivotField showAll="0" defaultSubtotal="0"/>
    <pivotField showAll="0" defaultSubtotal="0"/>
    <pivotField axis="axisCol"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 v="1"/>
    </i>
    <i>
      <x v="2"/>
    </i>
    <i t="grand">
      <x/>
    </i>
  </colItems>
  <dataFields count="1">
    <dataField name="Moyenne de Marge" fld="8" subtotal="average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8798B-0B42-49BD-9338-0886E016ECC6}" name="tcd_LivraisonAnnee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20:D27" firstHeaderRow="1" firstDataRow="2" firstDataCol="1"/>
  <pivotFields count="13">
    <pivotField numFmtId="14" showAll="0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m="1" x="87"/>
        <item m="1" x="101"/>
        <item m="1" x="102"/>
        <item m="1" x="88"/>
        <item m="1" x="103"/>
        <item m="1" x="89"/>
        <item m="1" x="104"/>
        <item m="1" x="90"/>
        <item m="1" x="91"/>
        <item m="1" x="92"/>
        <item m="1" x="93"/>
        <item m="1" x="94"/>
        <item m="1" x="95"/>
        <item m="1" x="105"/>
        <item m="1" x="96"/>
        <item m="1" x="97"/>
        <item m="1" x="98"/>
        <item m="1" x="99"/>
        <item m="1" x="100"/>
        <item t="default"/>
      </items>
    </pivotField>
    <pivotField showAll="0"/>
    <pivotField showAll="0"/>
    <pivotField axis="axisRow" showAll="0">
      <items count="7">
        <item n="Revendeur" m="1" x="5"/>
        <item x="4"/>
        <item x="0"/>
        <item x="1"/>
        <item x="2"/>
        <item n="Revendeur2" x="3"/>
        <item t="default"/>
      </items>
    </pivotField>
    <pivotField showAll="0"/>
    <pivotField showAll="0"/>
    <pivotField showAll="0"/>
    <pivotField numFmtId="164" showAll="0"/>
    <pivotField dataField="1" numFmtId="164" showAll="0"/>
    <pivotField showAll="0" defaultSubtotal="0"/>
    <pivotField showAll="0" defaultSubtotal="0"/>
    <pivotField axis="axisCol"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Fields count="1">
    <field x="3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1"/>
  </colFields>
  <colItems count="3">
    <i>
      <x v="1"/>
    </i>
    <i>
      <x v="2"/>
    </i>
    <i t="grand">
      <x/>
    </i>
  </colItems>
  <dataFields count="1">
    <dataField name="Nombre de Marge" fld="8" subtotal="count" baseField="3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" xr10:uid="{65C7F237-B710-4A7D-A560-20DA4F69B4AC}" sourceName="Prod">
  <pivotTables>
    <pivotTable tabId="15" name="tcd_VentesSegments"/>
  </pivotTables>
  <data>
    <tabular pivotCacheId="747509446">
      <items count="20">
        <i x="0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" s="1"/>
        <i x="3" s="1"/>
        <i x="4" s="1"/>
        <i x="5" s="1"/>
        <i x="6" s="1"/>
        <i x="8" s="1"/>
        <i x="19" s="1" nd="1"/>
        <i x="2" s="1" nd="1"/>
        <i x="7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nal" xr10:uid="{70F17552-8DF6-4BA3-96D4-E126C219D9C8}" sourceName="Canal">
  <pivotTables>
    <pivotTable tabId="15" name="tcd_VentesSegments"/>
  </pivotTables>
  <data>
    <tabular pivotCacheId="747509446">
      <items count="4">
        <i x="3"/>
        <i x="0"/>
        <i x="2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" xr10:uid="{FC86217F-869F-4374-BDBD-07A65388936B}" cache="Segment_Prod" caption="Prod" columnCount="2" rowHeight="241300"/>
  <slicer name="Canal" xr10:uid="{65C78F51-489A-4955-872F-02E3275754FD}" cache="Segment_Canal" caption="Canal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27D3C8-04BE-4D71-AAB3-473B8F8A77C3}" name="tbl_Ventes" displayName="tbl_Ventes" ref="A1:I164" totalsRowShown="0">
  <autoFilter ref="A1:I164" xr:uid="{A327D3C8-04BE-4D71-AAB3-473B8F8A77C3}"/>
  <tableColumns count="9">
    <tableColumn id="5" xr3:uid="{E31C680F-5D81-471F-A1CF-32E4A9E83B04}" name="dateVente" dataDxfId="41"/>
    <tableColumn id="1" xr3:uid="{7E4406E0-057D-4160-90B2-A0DCC9F6D919}" name="Prod" dataDxfId="40"/>
    <tableColumn id="8" xr3:uid="{4EA3ED10-923E-48AC-B8EE-E1BA6C5AB933}" name="Canal" dataDxfId="39"/>
    <tableColumn id="9" xr3:uid="{6A90DA5A-3190-45E3-B0E7-3F238330D1B0}" name="Livraison" dataDxfId="38"/>
    <tableColumn id="2" xr3:uid="{F8E36708-7495-485D-9074-C0699C079E82}" name="Qté" dataDxfId="37"/>
    <tableColumn id="3" xr3:uid="{C95EF4C6-615D-4409-9236-77E9CE1D8314}" name="PA" dataDxfId="36"/>
    <tableColumn id="4" xr3:uid="{1A65061D-DEEF-48CB-91D5-9D426040734E}" name="PV" dataDxfId="35">
      <calculatedColumnFormula>INT(F2*1.4)</calculatedColumnFormula>
    </tableColumn>
    <tableColumn id="6" xr3:uid="{F8FF4998-B95F-4802-B3F0-F1B43D8A7B50}" name="Total Vente" dataDxfId="34" dataCellStyle="Monétaire">
      <calculatedColumnFormula>tbl_Ventes[[#This Row],[PV]]*tbl_Ventes[[#This Row],[Qté]]</calculatedColumnFormula>
    </tableColumn>
    <tableColumn id="7" xr3:uid="{905CE744-F1EF-4F2A-B2D8-EBB3B4D397EE}" name="Marge" dataDxfId="33" dataCellStyle="Monétaire">
      <calculatedColumnFormula>tbl_Ventes[[#This Row],[Qté]]*(tbl_Ventes[[#This Row],[PV]]-tbl_Ventes[[#This Row],[PA]])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Vente" xr10:uid="{575540DC-2B0A-46FB-A8FC-626B7B5C646B}" sourceName="dateVente">
  <pivotTables>
    <pivotTable tabId="2" name="tcd_Ventes"/>
  </pivotTables>
  <state minimalRefreshVersion="6" lastRefreshVersion="6" pivotCacheId="747509446" filterType="unknown">
    <bounds startDate="2021-01-01T00:00:00" endDate="2023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Vente1" xr10:uid="{AAEBD209-2F19-406F-A213-48F6996FA5D3}" sourceName="dateVente">
  <pivotTables>
    <pivotTable tabId="10" name="tcd_DateRang"/>
  </pivotTables>
  <state minimalRefreshVersion="6" lastRefreshVersion="6" pivotCacheId="747509446" filterType="unknown">
    <bounds startDate="2021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Vente 1" xr10:uid="{E3D57347-9F5A-4942-AD37-2F73DFFBE4F4}" cache="ChronologieNative_dateVente1" caption="dateVente" level="1" selectionLevel="1" scrollPosition="2021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Vente" xr10:uid="{6158CFE2-624B-41F5-B1EB-0696BA7D4C95}" cache="ChronologieNative_dateVente" caption="dateVente" level="1" selectionLevel="1" scrollPosition="2021-01-01T00:00:00"/>
</timeline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0885CC0-3464-4EA2-BB0F-5598696E70D2}">
  <we:reference id="wa200005271" version="2.5.5.0" store="fr-F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273C7D1-CD45-41BC-9A23-1989148C5BDD}">
  <we:reference id="wa200007447" version="1.0.0.0" store="fr-CH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pivotTable" Target="../pivotTables/pivotTable1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1E4-13B2-4DD3-B9B9-7FBBB1514342}">
  <dimension ref="A3:D15"/>
  <sheetViews>
    <sheetView zoomScale="95" zoomScaleNormal="95" workbookViewId="0">
      <selection activeCell="S31" sqref="S31"/>
    </sheetView>
  </sheetViews>
  <sheetFormatPr baseColWidth="10" defaultColWidth="11.42578125" defaultRowHeight="15" x14ac:dyDescent="0.25"/>
  <cols>
    <col min="1" max="1" width="12.5703125" bestFit="1" customWidth="1"/>
    <col min="2" max="3" width="7.42578125" bestFit="1" customWidth="1"/>
    <col min="4" max="4" width="12.5703125" bestFit="1" customWidth="1"/>
    <col min="5" max="5" width="12.42578125" bestFit="1" customWidth="1"/>
    <col min="6" max="6" width="10" bestFit="1" customWidth="1"/>
    <col min="7" max="7" width="5.5703125" bestFit="1" customWidth="1"/>
    <col min="8" max="8" width="14.7109375" bestFit="1" customWidth="1"/>
    <col min="9" max="10" width="6.28515625" bestFit="1" customWidth="1"/>
    <col min="11" max="11" width="5.140625" bestFit="1" customWidth="1"/>
    <col min="12" max="12" width="14.7109375" bestFit="1" customWidth="1"/>
    <col min="13" max="14" width="7.28515625" bestFit="1" customWidth="1"/>
    <col min="15" max="17" width="6.28515625" bestFit="1" customWidth="1"/>
    <col min="18" max="19" width="7.28515625" bestFit="1" customWidth="1"/>
    <col min="20" max="21" width="6.28515625" bestFit="1" customWidth="1"/>
    <col min="22" max="22" width="11" bestFit="1" customWidth="1"/>
    <col min="23" max="23" width="19.85546875" bestFit="1" customWidth="1"/>
    <col min="24" max="40" width="6.28515625" bestFit="1" customWidth="1"/>
    <col min="41" max="41" width="7.28515625" bestFit="1" customWidth="1"/>
    <col min="42" max="42" width="11" bestFit="1" customWidth="1"/>
    <col min="43" max="43" width="19.85546875" bestFit="1" customWidth="1"/>
  </cols>
  <sheetData>
    <row r="3" spans="1:4" x14ac:dyDescent="0.25">
      <c r="A3" s="1" t="s">
        <v>0</v>
      </c>
    </row>
    <row r="4" spans="1:4" x14ac:dyDescent="0.25">
      <c r="B4" t="s">
        <v>1</v>
      </c>
      <c r="C4" t="s">
        <v>2</v>
      </c>
      <c r="D4" t="s">
        <v>3</v>
      </c>
    </row>
    <row r="5" spans="1:4" x14ac:dyDescent="0.25">
      <c r="A5" t="s">
        <v>4</v>
      </c>
      <c r="B5" s="17">
        <v>2654</v>
      </c>
      <c r="C5" s="17">
        <v>9614</v>
      </c>
      <c r="D5" s="17">
        <v>12268</v>
      </c>
    </row>
    <row r="6" spans="1:4" x14ac:dyDescent="0.25">
      <c r="A6" t="s">
        <v>5</v>
      </c>
      <c r="B6" s="17">
        <v>26239</v>
      </c>
      <c r="C6" s="17">
        <v>17910</v>
      </c>
      <c r="D6" s="17">
        <v>44149</v>
      </c>
    </row>
    <row r="7" spans="1:4" x14ac:dyDescent="0.25">
      <c r="A7" t="s">
        <v>6</v>
      </c>
      <c r="B7" s="17"/>
      <c r="C7" s="17">
        <v>26810</v>
      </c>
      <c r="D7" s="17">
        <v>26810</v>
      </c>
    </row>
    <row r="8" spans="1:4" x14ac:dyDescent="0.25">
      <c r="A8" t="s">
        <v>7</v>
      </c>
      <c r="B8" s="17">
        <v>5040</v>
      </c>
      <c r="C8" s="17">
        <v>2695</v>
      </c>
      <c r="D8" s="17">
        <v>7735</v>
      </c>
    </row>
    <row r="9" spans="1:4" x14ac:dyDescent="0.25">
      <c r="A9" t="s">
        <v>8</v>
      </c>
      <c r="B9" s="17">
        <v>14357</v>
      </c>
      <c r="C9" s="17">
        <v>6552</v>
      </c>
      <c r="D9" s="17">
        <v>20909</v>
      </c>
    </row>
    <row r="10" spans="1:4" x14ac:dyDescent="0.25">
      <c r="A10" t="s">
        <v>9</v>
      </c>
      <c r="B10" s="17">
        <v>9517</v>
      </c>
      <c r="C10" s="17">
        <v>15840</v>
      </c>
      <c r="D10" s="17">
        <v>25357</v>
      </c>
    </row>
    <row r="11" spans="1:4" x14ac:dyDescent="0.25">
      <c r="A11" t="s">
        <v>10</v>
      </c>
      <c r="B11" s="17">
        <v>1785</v>
      </c>
      <c r="C11" s="17">
        <v>13731</v>
      </c>
      <c r="D11" s="17">
        <v>15516</v>
      </c>
    </row>
    <row r="12" spans="1:4" x14ac:dyDescent="0.25">
      <c r="A12" t="s">
        <v>11</v>
      </c>
      <c r="B12" s="17">
        <v>10593</v>
      </c>
      <c r="C12" s="17">
        <v>27866</v>
      </c>
      <c r="D12" s="17">
        <v>38459</v>
      </c>
    </row>
    <row r="13" spans="1:4" x14ac:dyDescent="0.25">
      <c r="A13" t="s">
        <v>12</v>
      </c>
      <c r="B13" s="17"/>
      <c r="C13" s="17">
        <v>10780</v>
      </c>
      <c r="D13" s="17">
        <v>10780</v>
      </c>
    </row>
    <row r="14" spans="1:4" x14ac:dyDescent="0.25">
      <c r="A14" t="s">
        <v>13</v>
      </c>
      <c r="B14" s="17">
        <v>6886</v>
      </c>
      <c r="C14" s="17"/>
      <c r="D14" s="17">
        <v>6886</v>
      </c>
    </row>
    <row r="15" spans="1:4" x14ac:dyDescent="0.25">
      <c r="A15" t="s">
        <v>3</v>
      </c>
      <c r="B15" s="17">
        <v>77071</v>
      </c>
      <c r="C15" s="17">
        <v>131798</v>
      </c>
      <c r="D15" s="17">
        <v>208869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B89C-F28E-46D2-96A9-C96552714DF9}">
  <dimension ref="A1:C19"/>
  <sheetViews>
    <sheetView workbookViewId="0">
      <selection activeCell="P2" sqref="P2"/>
    </sheetView>
  </sheetViews>
  <sheetFormatPr baseColWidth="10" defaultColWidth="11.42578125" defaultRowHeight="15" x14ac:dyDescent="0.25"/>
  <cols>
    <col min="1" max="1" width="21" bestFit="1" customWidth="1"/>
    <col min="2" max="2" width="16.7109375" bestFit="1" customWidth="1"/>
    <col min="3" max="3" width="8.28515625" bestFit="1" customWidth="1"/>
    <col min="4" max="4" width="12.5703125" bestFit="1" customWidth="1"/>
    <col min="5" max="5" width="10.5703125" bestFit="1" customWidth="1"/>
    <col min="6" max="6" width="9.85546875" bestFit="1" customWidth="1"/>
    <col min="7" max="9" width="10.5703125" bestFit="1" customWidth="1"/>
    <col min="10" max="10" width="9.85546875" bestFit="1" customWidth="1"/>
    <col min="11" max="11" width="12.5703125" bestFit="1" customWidth="1"/>
    <col min="12" max="12" width="5" bestFit="1" customWidth="1"/>
    <col min="13" max="13" width="15.42578125" bestFit="1" customWidth="1"/>
    <col min="14" max="14" width="12.42578125" bestFit="1" customWidth="1"/>
    <col min="15" max="15" width="15.42578125" bestFit="1" customWidth="1"/>
    <col min="16" max="16" width="9.85546875" bestFit="1" customWidth="1"/>
    <col min="17" max="17" width="12.42578125" bestFit="1" customWidth="1"/>
    <col min="18" max="18" width="5" bestFit="1" customWidth="1"/>
    <col min="19" max="19" width="5.28515625" bestFit="1" customWidth="1"/>
    <col min="20" max="20" width="15.42578125" bestFit="1" customWidth="1"/>
    <col min="21" max="21" width="12.42578125" bestFit="1" customWidth="1"/>
    <col min="22" max="22" width="6" bestFit="1" customWidth="1"/>
    <col min="23" max="23" width="5" bestFit="1" customWidth="1"/>
    <col min="24" max="24" width="15.42578125" bestFit="1" customWidth="1"/>
    <col min="25" max="25" width="12.42578125" bestFit="1" customWidth="1"/>
    <col min="26" max="26" width="5" bestFit="1" customWidth="1"/>
    <col min="27" max="27" width="4.85546875" bestFit="1" customWidth="1"/>
    <col min="28" max="28" width="15.42578125" bestFit="1" customWidth="1"/>
    <col min="29" max="29" width="9.85546875" bestFit="1" customWidth="1"/>
    <col min="30" max="30" width="12.5703125" bestFit="1" customWidth="1"/>
    <col min="31" max="32" width="10.140625" bestFit="1" customWidth="1"/>
    <col min="33" max="33" width="9.28515625" bestFit="1" customWidth="1"/>
    <col min="34" max="34" width="15.42578125" bestFit="1" customWidth="1"/>
    <col min="35" max="35" width="12.42578125" bestFit="1" customWidth="1"/>
    <col min="36" max="38" width="10.140625" bestFit="1" customWidth="1"/>
    <col min="39" max="39" width="8.7109375" bestFit="1" customWidth="1"/>
    <col min="40" max="44" width="10.140625" bestFit="1" customWidth="1"/>
    <col min="45" max="45" width="9.85546875" bestFit="1" customWidth="1"/>
    <col min="46" max="49" width="10.140625" bestFit="1" customWidth="1"/>
    <col min="50" max="50" width="9.7109375" bestFit="1" customWidth="1"/>
    <col min="51" max="51" width="15.42578125" bestFit="1" customWidth="1"/>
    <col min="52" max="52" width="12.42578125" bestFit="1" customWidth="1"/>
    <col min="53" max="53" width="10.140625" bestFit="1" customWidth="1"/>
    <col min="54" max="54" width="8.5703125" bestFit="1" customWidth="1"/>
    <col min="55" max="55" width="15.42578125" bestFit="1" customWidth="1"/>
    <col min="56" max="56" width="9.85546875" bestFit="1" customWidth="1"/>
    <col min="57" max="57" width="12.42578125" bestFit="1" customWidth="1"/>
    <col min="58" max="60" width="10.140625" bestFit="1" customWidth="1"/>
    <col min="61" max="61" width="9.5703125" bestFit="1" customWidth="1"/>
    <col min="62" max="66" width="10.140625" bestFit="1" customWidth="1"/>
    <col min="67" max="67" width="9.42578125" bestFit="1" customWidth="1"/>
    <col min="68" max="73" width="10.140625" bestFit="1" customWidth="1"/>
    <col min="74" max="74" width="15.42578125" bestFit="1" customWidth="1"/>
    <col min="75" max="75" width="12.42578125" bestFit="1" customWidth="1"/>
    <col min="76" max="79" width="10.140625" bestFit="1" customWidth="1"/>
    <col min="80" max="80" width="8.5703125" bestFit="1" customWidth="1"/>
    <col min="81" max="85" width="10.140625" bestFit="1" customWidth="1"/>
    <col min="86" max="86" width="9.140625" bestFit="1" customWidth="1"/>
    <col min="87" max="91" width="10.140625" bestFit="1" customWidth="1"/>
    <col min="92" max="92" width="9.28515625" bestFit="1" customWidth="1"/>
    <col min="93" max="93" width="15.42578125" bestFit="1" customWidth="1"/>
    <col min="94" max="94" width="12.42578125" bestFit="1" customWidth="1"/>
    <col min="95" max="98" width="10.140625" bestFit="1" customWidth="1"/>
    <col min="99" max="99" width="8.7109375" bestFit="1" customWidth="1"/>
    <col min="100" max="104" width="10.140625" bestFit="1" customWidth="1"/>
    <col min="105" max="105" width="9.85546875" bestFit="1" customWidth="1"/>
    <col min="106" max="106" width="10.140625" bestFit="1" customWidth="1"/>
    <col min="107" max="107" width="9.7109375" bestFit="1" customWidth="1"/>
    <col min="108" max="108" width="15.42578125" bestFit="1" customWidth="1"/>
    <col min="109" max="109" width="9.85546875" bestFit="1" customWidth="1"/>
    <col min="110" max="110" width="12.5703125" bestFit="1" customWidth="1"/>
  </cols>
  <sheetData>
    <row r="1" spans="1:3" x14ac:dyDescent="0.25">
      <c r="A1" s="1" t="s">
        <v>14</v>
      </c>
      <c r="B1" t="s">
        <v>15</v>
      </c>
      <c r="C1" t="s">
        <v>16</v>
      </c>
    </row>
    <row r="2" spans="1:3" x14ac:dyDescent="0.25">
      <c r="A2" s="8" t="s">
        <v>17</v>
      </c>
      <c r="B2" s="17">
        <v>845</v>
      </c>
      <c r="C2" s="4">
        <v>3.2019947100773785E-3</v>
      </c>
    </row>
    <row r="3" spans="1:3" x14ac:dyDescent="0.25">
      <c r="A3" s="8" t="s">
        <v>18</v>
      </c>
      <c r="B3" s="17">
        <v>9626</v>
      </c>
      <c r="C3" s="4">
        <v>3.6476214294916973E-2</v>
      </c>
    </row>
    <row r="4" spans="1:3" x14ac:dyDescent="0.25">
      <c r="A4" s="8" t="s">
        <v>19</v>
      </c>
      <c r="B4" s="17">
        <v>17028</v>
      </c>
      <c r="C4" s="4">
        <v>6.4524930086624382E-2</v>
      </c>
    </row>
    <row r="5" spans="1:3" x14ac:dyDescent="0.25">
      <c r="A5" s="8" t="s">
        <v>20</v>
      </c>
      <c r="B5" s="17">
        <v>19656</v>
      </c>
      <c r="C5" s="4">
        <v>7.4483323102107632E-2</v>
      </c>
    </row>
    <row r="6" spans="1:3" x14ac:dyDescent="0.25">
      <c r="A6" s="8" t="s">
        <v>21</v>
      </c>
      <c r="B6" s="17">
        <v>21713</v>
      </c>
      <c r="C6" s="4">
        <v>8.227800134900605E-2</v>
      </c>
    </row>
    <row r="7" spans="1:3" x14ac:dyDescent="0.25">
      <c r="A7" s="8" t="s">
        <v>22</v>
      </c>
      <c r="B7" s="17">
        <v>26083</v>
      </c>
      <c r="C7" s="4">
        <v>9.8837429612956523E-2</v>
      </c>
    </row>
    <row r="8" spans="1:3" x14ac:dyDescent="0.25">
      <c r="A8" s="8" t="s">
        <v>23</v>
      </c>
      <c r="B8" s="17">
        <v>22411</v>
      </c>
      <c r="C8" s="4">
        <v>8.492296265981554E-2</v>
      </c>
    </row>
    <row r="9" spans="1:3" x14ac:dyDescent="0.25">
      <c r="A9" s="8" t="s">
        <v>24</v>
      </c>
      <c r="B9" s="17">
        <v>23919</v>
      </c>
      <c r="C9" s="4">
        <v>9.0637291680876697E-2</v>
      </c>
    </row>
    <row r="10" spans="1:3" x14ac:dyDescent="0.25">
      <c r="A10" s="8" t="s">
        <v>25</v>
      </c>
      <c r="B10" s="17">
        <v>17087</v>
      </c>
      <c r="C10" s="4">
        <v>6.4748501314901966E-2</v>
      </c>
    </row>
    <row r="11" spans="1:3" x14ac:dyDescent="0.25">
      <c r="A11" s="8" t="s">
        <v>26</v>
      </c>
      <c r="B11" s="17">
        <v>18962</v>
      </c>
      <c r="C11" s="4">
        <v>7.1853519162706797E-2</v>
      </c>
    </row>
    <row r="12" spans="1:3" x14ac:dyDescent="0.25">
      <c r="A12" s="8" t="s">
        <v>27</v>
      </c>
      <c r="B12" s="17">
        <v>14963</v>
      </c>
      <c r="C12" s="4">
        <v>5.6699937096908654E-2</v>
      </c>
    </row>
    <row r="13" spans="1:3" x14ac:dyDescent="0.25">
      <c r="A13" s="8" t="s">
        <v>28</v>
      </c>
      <c r="B13" s="17">
        <v>23005</v>
      </c>
      <c r="C13" s="4">
        <v>8.717383231400011E-2</v>
      </c>
    </row>
    <row r="14" spans="1:3" x14ac:dyDescent="0.25">
      <c r="A14" s="8" t="s">
        <v>29</v>
      </c>
      <c r="B14" s="17">
        <v>3496</v>
      </c>
      <c r="C14" s="4">
        <v>1.3247542611160373E-2</v>
      </c>
    </row>
    <row r="15" spans="1:3" x14ac:dyDescent="0.25">
      <c r="A15" s="8" t="s">
        <v>30</v>
      </c>
      <c r="B15" s="17">
        <v>19150</v>
      </c>
      <c r="C15" s="4">
        <v>7.2565915618913374E-2</v>
      </c>
    </row>
    <row r="16" spans="1:3" x14ac:dyDescent="0.25">
      <c r="A16" s="8" t="s">
        <v>31</v>
      </c>
      <c r="B16" s="17">
        <v>8022</v>
      </c>
      <c r="C16" s="4">
        <v>3.03981083600482E-2</v>
      </c>
    </row>
    <row r="17" spans="1:3" x14ac:dyDescent="0.25">
      <c r="A17" s="8" t="s">
        <v>32</v>
      </c>
      <c r="B17" s="17">
        <v>13348</v>
      </c>
      <c r="C17" s="4">
        <v>5.0580148390666088E-2</v>
      </c>
    </row>
    <row r="18" spans="1:3" x14ac:dyDescent="0.25">
      <c r="A18" s="8" t="s">
        <v>33</v>
      </c>
      <c r="B18" s="17">
        <v>4584</v>
      </c>
      <c r="C18" s="4">
        <v>1.7370347634313256E-2</v>
      </c>
    </row>
    <row r="19" spans="1:3" x14ac:dyDescent="0.25">
      <c r="A19" s="8" t="s">
        <v>3</v>
      </c>
      <c r="B19" s="17">
        <v>263898</v>
      </c>
      <c r="C19" s="4">
        <v>1</v>
      </c>
    </row>
  </sheetData>
  <conditionalFormatting pivot="1" sqref="C2:C18">
    <cfRule type="top10" dxfId="62" priority="3" rank="3"/>
  </conditionalFormatting>
  <conditionalFormatting pivot="1" sqref="B2:B18">
    <cfRule type="top10" dxfId="61" priority="2" rank="3"/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764E-91AE-473F-818C-864ABBA59EFD}">
  <sheetPr codeName="Feuil4"/>
  <dimension ref="A1:F27"/>
  <sheetViews>
    <sheetView workbookViewId="0">
      <selection activeCell="B21" sqref="B21"/>
    </sheetView>
  </sheetViews>
  <sheetFormatPr baseColWidth="10" defaultColWidth="11.42578125" defaultRowHeight="15" x14ac:dyDescent="0.25"/>
  <cols>
    <col min="1" max="1" width="21" bestFit="1" customWidth="1"/>
    <col min="2" max="2" width="14.140625" bestFit="1" customWidth="1"/>
    <col min="3" max="3" width="9.140625" bestFit="1" customWidth="1"/>
    <col min="4" max="4" width="6.7109375" bestFit="1" customWidth="1"/>
    <col min="6" max="6" width="11.42578125" style="3"/>
  </cols>
  <sheetData>
    <row r="1" spans="1:4" x14ac:dyDescent="0.25">
      <c r="A1" s="1" t="s">
        <v>14</v>
      </c>
      <c r="B1" t="s">
        <v>34</v>
      </c>
      <c r="C1" t="s">
        <v>35</v>
      </c>
      <c r="D1" t="s">
        <v>36</v>
      </c>
    </row>
    <row r="2" spans="1:4" x14ac:dyDescent="0.25">
      <c r="A2" s="2" t="s">
        <v>1</v>
      </c>
      <c r="B2" s="17"/>
      <c r="C2" s="17"/>
      <c r="D2" s="17"/>
    </row>
    <row r="3" spans="1:4" x14ac:dyDescent="0.25">
      <c r="A3" s="10" t="s">
        <v>4</v>
      </c>
      <c r="B3" s="17">
        <v>35</v>
      </c>
      <c r="C3" s="17"/>
      <c r="D3" s="17">
        <v>35</v>
      </c>
    </row>
    <row r="4" spans="1:4" x14ac:dyDescent="0.25">
      <c r="A4" s="10" t="s">
        <v>5</v>
      </c>
      <c r="B4" s="17">
        <v>109</v>
      </c>
      <c r="C4" s="17">
        <v>74</v>
      </c>
      <c r="D4" s="17">
        <v>144</v>
      </c>
    </row>
    <row r="5" spans="1:4" x14ac:dyDescent="0.25">
      <c r="A5" s="10" t="s">
        <v>6</v>
      </c>
      <c r="B5" s="17">
        <v>121</v>
      </c>
      <c r="C5" s="17">
        <v>12</v>
      </c>
      <c r="D5" s="17">
        <v>265</v>
      </c>
    </row>
    <row r="6" spans="1:4" x14ac:dyDescent="0.25">
      <c r="A6" s="10" t="s">
        <v>7</v>
      </c>
      <c r="B6" s="17">
        <v>72</v>
      </c>
      <c r="C6" s="17">
        <v>-49</v>
      </c>
      <c r="D6" s="17">
        <v>337</v>
      </c>
    </row>
    <row r="7" spans="1:4" x14ac:dyDescent="0.25">
      <c r="A7" s="10" t="s">
        <v>8</v>
      </c>
      <c r="B7" s="17">
        <v>96</v>
      </c>
      <c r="C7" s="17">
        <v>24</v>
      </c>
      <c r="D7" s="17">
        <v>433</v>
      </c>
    </row>
    <row r="8" spans="1:4" x14ac:dyDescent="0.25">
      <c r="A8" s="10" t="s">
        <v>9</v>
      </c>
      <c r="B8" s="17">
        <v>133</v>
      </c>
      <c r="C8" s="17">
        <v>37</v>
      </c>
      <c r="D8" s="17">
        <v>566</v>
      </c>
    </row>
    <row r="9" spans="1:4" x14ac:dyDescent="0.25">
      <c r="A9" s="10" t="s">
        <v>10</v>
      </c>
      <c r="B9" s="17">
        <v>37</v>
      </c>
      <c r="C9" s="17">
        <v>-96</v>
      </c>
      <c r="D9" s="17">
        <v>603</v>
      </c>
    </row>
    <row r="10" spans="1:4" x14ac:dyDescent="0.25">
      <c r="A10" s="10" t="s">
        <v>11</v>
      </c>
      <c r="B10" s="17">
        <v>39</v>
      </c>
      <c r="C10" s="17">
        <v>2</v>
      </c>
      <c r="D10" s="17">
        <v>642</v>
      </c>
    </row>
    <row r="11" spans="1:4" x14ac:dyDescent="0.25">
      <c r="A11" s="10" t="s">
        <v>12</v>
      </c>
      <c r="B11" s="17">
        <v>44</v>
      </c>
      <c r="C11" s="17">
        <v>5</v>
      </c>
      <c r="D11" s="17">
        <v>686</v>
      </c>
    </row>
    <row r="12" spans="1:4" x14ac:dyDescent="0.25">
      <c r="A12" s="10" t="s">
        <v>37</v>
      </c>
      <c r="B12" s="17">
        <v>20</v>
      </c>
      <c r="C12" s="17">
        <v>-24</v>
      </c>
      <c r="D12" s="17">
        <v>706</v>
      </c>
    </row>
    <row r="13" spans="1:4" x14ac:dyDescent="0.25">
      <c r="A13" s="10" t="s">
        <v>13</v>
      </c>
      <c r="B13" s="17">
        <v>87</v>
      </c>
      <c r="C13" s="17">
        <v>67</v>
      </c>
      <c r="D13" s="17">
        <v>793</v>
      </c>
    </row>
    <row r="14" spans="1:4" x14ac:dyDescent="0.25">
      <c r="A14" s="10" t="s">
        <v>38</v>
      </c>
      <c r="B14" s="17">
        <v>51</v>
      </c>
      <c r="C14" s="17">
        <v>-36</v>
      </c>
      <c r="D14" s="17">
        <v>844</v>
      </c>
    </row>
    <row r="15" spans="1:4" x14ac:dyDescent="0.25">
      <c r="A15" s="2" t="s">
        <v>39</v>
      </c>
      <c r="B15" s="17">
        <v>844</v>
      </c>
      <c r="C15" s="17"/>
      <c r="D15" s="17"/>
    </row>
    <row r="16" spans="1:4" x14ac:dyDescent="0.25">
      <c r="A16" s="2" t="s">
        <v>2</v>
      </c>
      <c r="B16" s="17"/>
      <c r="C16" s="17"/>
      <c r="D16" s="17"/>
    </row>
    <row r="17" spans="1:4" x14ac:dyDescent="0.25">
      <c r="A17" s="10" t="s">
        <v>4</v>
      </c>
      <c r="B17" s="17">
        <v>92</v>
      </c>
      <c r="C17" s="17"/>
      <c r="D17" s="17">
        <v>92</v>
      </c>
    </row>
    <row r="18" spans="1:4" x14ac:dyDescent="0.25">
      <c r="A18" s="10" t="s">
        <v>5</v>
      </c>
      <c r="B18" s="17">
        <v>125</v>
      </c>
      <c r="C18" s="17">
        <v>33</v>
      </c>
      <c r="D18" s="17">
        <v>217</v>
      </c>
    </row>
    <row r="19" spans="1:4" x14ac:dyDescent="0.25">
      <c r="A19" s="10" t="s">
        <v>6</v>
      </c>
      <c r="B19" s="17">
        <v>140</v>
      </c>
      <c r="C19" s="17">
        <v>15</v>
      </c>
      <c r="D19" s="17">
        <v>357</v>
      </c>
    </row>
    <row r="20" spans="1:4" x14ac:dyDescent="0.25">
      <c r="A20" s="10" t="s">
        <v>7</v>
      </c>
      <c r="B20" s="17">
        <v>146</v>
      </c>
      <c r="C20" s="17">
        <v>6</v>
      </c>
      <c r="D20" s="17">
        <v>503</v>
      </c>
    </row>
    <row r="21" spans="1:4" x14ac:dyDescent="0.25">
      <c r="A21" s="10" t="s">
        <v>8</v>
      </c>
      <c r="B21" s="17">
        <v>145</v>
      </c>
      <c r="C21" s="17">
        <v>-1</v>
      </c>
      <c r="D21" s="17">
        <v>648</v>
      </c>
    </row>
    <row r="22" spans="1:4" x14ac:dyDescent="0.25">
      <c r="A22" s="10" t="s">
        <v>9</v>
      </c>
      <c r="B22" s="17">
        <v>137</v>
      </c>
      <c r="C22" s="17">
        <v>-8</v>
      </c>
      <c r="D22" s="17">
        <v>785</v>
      </c>
    </row>
    <row r="23" spans="1:4" x14ac:dyDescent="0.25">
      <c r="A23" s="10" t="s">
        <v>10</v>
      </c>
      <c r="B23" s="17">
        <v>152</v>
      </c>
      <c r="C23" s="17">
        <v>15</v>
      </c>
      <c r="D23" s="17">
        <v>937</v>
      </c>
    </row>
    <row r="24" spans="1:4" x14ac:dyDescent="0.25">
      <c r="A24" s="10" t="s">
        <v>11</v>
      </c>
      <c r="B24" s="17">
        <v>182</v>
      </c>
      <c r="C24" s="17">
        <v>30</v>
      </c>
      <c r="D24" s="17">
        <v>1119</v>
      </c>
    </row>
    <row r="25" spans="1:4" x14ac:dyDescent="0.25">
      <c r="A25" s="10" t="s">
        <v>12</v>
      </c>
      <c r="B25" s="17">
        <v>39</v>
      </c>
      <c r="C25" s="17">
        <v>-143</v>
      </c>
      <c r="D25" s="17">
        <v>1158</v>
      </c>
    </row>
    <row r="26" spans="1:4" x14ac:dyDescent="0.25">
      <c r="A26" s="2" t="s">
        <v>40</v>
      </c>
      <c r="B26" s="17">
        <v>1158</v>
      </c>
      <c r="C26" s="17"/>
      <c r="D26" s="17"/>
    </row>
    <row r="27" spans="1:4" x14ac:dyDescent="0.25">
      <c r="A27" s="2" t="s">
        <v>3</v>
      </c>
      <c r="B27" s="17">
        <v>2002</v>
      </c>
      <c r="C27" s="17"/>
      <c r="D27" s="17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16C0-9725-4A38-A974-6B45563601F4}">
  <dimension ref="A3:D26"/>
  <sheetViews>
    <sheetView zoomScale="95" zoomScaleNormal="95" workbookViewId="0">
      <selection activeCell="C19" sqref="C19"/>
    </sheetView>
  </sheetViews>
  <sheetFormatPr baseColWidth="10" defaultColWidth="11.42578125" defaultRowHeight="15" x14ac:dyDescent="0.25"/>
  <cols>
    <col min="1" max="2" width="7.85546875" bestFit="1" customWidth="1"/>
    <col min="3" max="3" width="9.28515625" bestFit="1" customWidth="1"/>
    <col min="4" max="4" width="9" bestFit="1" customWidth="1"/>
    <col min="5" max="5" width="15.140625" bestFit="1" customWidth="1"/>
    <col min="6" max="6" width="19.28515625" bestFit="1" customWidth="1"/>
    <col min="7" max="7" width="20.28515625" bestFit="1" customWidth="1"/>
    <col min="8" max="8" width="14.7109375" bestFit="1" customWidth="1"/>
    <col min="9" max="10" width="6.28515625" bestFit="1" customWidth="1"/>
    <col min="11" max="11" width="5.140625" bestFit="1" customWidth="1"/>
    <col min="12" max="12" width="14.7109375" bestFit="1" customWidth="1"/>
    <col min="13" max="14" width="7.28515625" bestFit="1" customWidth="1"/>
    <col min="15" max="17" width="6.28515625" bestFit="1" customWidth="1"/>
    <col min="18" max="19" width="7.28515625" bestFit="1" customWidth="1"/>
    <col min="20" max="21" width="6.28515625" bestFit="1" customWidth="1"/>
    <col min="22" max="22" width="11" bestFit="1" customWidth="1"/>
    <col min="23" max="23" width="19.85546875" bestFit="1" customWidth="1"/>
    <col min="24" max="40" width="6.28515625" bestFit="1" customWidth="1"/>
    <col min="41" max="41" width="7.28515625" bestFit="1" customWidth="1"/>
    <col min="42" max="42" width="11" bestFit="1" customWidth="1"/>
    <col min="43" max="43" width="19.85546875" bestFit="1" customWidth="1"/>
  </cols>
  <sheetData>
    <row r="3" spans="1:4" x14ac:dyDescent="0.25">
      <c r="A3" s="1" t="s">
        <v>41</v>
      </c>
      <c r="B3" s="1" t="s">
        <v>42</v>
      </c>
      <c r="C3" t="s">
        <v>43</v>
      </c>
      <c r="D3" t="s">
        <v>44</v>
      </c>
    </row>
    <row r="4" spans="1:4" x14ac:dyDescent="0.25">
      <c r="A4" t="s">
        <v>1</v>
      </c>
      <c r="B4" t="s">
        <v>4</v>
      </c>
      <c r="C4" s="17">
        <v>35</v>
      </c>
      <c r="D4" s="4"/>
    </row>
    <row r="5" spans="1:4" x14ac:dyDescent="0.25">
      <c r="B5" t="s">
        <v>5</v>
      </c>
      <c r="C5" s="17">
        <v>109</v>
      </c>
      <c r="D5" s="4"/>
    </row>
    <row r="6" spans="1:4" x14ac:dyDescent="0.25">
      <c r="B6" t="s">
        <v>6</v>
      </c>
      <c r="C6" s="17">
        <v>121</v>
      </c>
      <c r="D6" s="4"/>
    </row>
    <row r="7" spans="1:4" x14ac:dyDescent="0.25">
      <c r="B7" t="s">
        <v>7</v>
      </c>
      <c r="C7" s="17">
        <v>72</v>
      </c>
      <c r="D7" s="4"/>
    </row>
    <row r="8" spans="1:4" x14ac:dyDescent="0.25">
      <c r="B8" t="s">
        <v>8</v>
      </c>
      <c r="C8" s="17">
        <v>96</v>
      </c>
      <c r="D8" s="4"/>
    </row>
    <row r="9" spans="1:4" x14ac:dyDescent="0.25">
      <c r="B9" t="s">
        <v>9</v>
      </c>
      <c r="C9" s="17">
        <v>133</v>
      </c>
      <c r="D9" s="4"/>
    </row>
    <row r="10" spans="1:4" x14ac:dyDescent="0.25">
      <c r="B10" t="s">
        <v>10</v>
      </c>
      <c r="C10" s="17">
        <v>37</v>
      </c>
      <c r="D10" s="4"/>
    </row>
    <row r="11" spans="1:4" x14ac:dyDescent="0.25">
      <c r="B11" t="s">
        <v>11</v>
      </c>
      <c r="C11" s="17">
        <v>39</v>
      </c>
      <c r="D11" s="4"/>
    </row>
    <row r="12" spans="1:4" x14ac:dyDescent="0.25">
      <c r="B12" t="s">
        <v>12</v>
      </c>
      <c r="C12" s="17">
        <v>44</v>
      </c>
      <c r="D12" s="4"/>
    </row>
    <row r="13" spans="1:4" x14ac:dyDescent="0.25">
      <c r="B13" t="s">
        <v>37</v>
      </c>
      <c r="C13" s="17">
        <v>20</v>
      </c>
      <c r="D13" s="4"/>
    </row>
    <row r="14" spans="1:4" x14ac:dyDescent="0.25">
      <c r="B14" t="s">
        <v>13</v>
      </c>
      <c r="C14" s="17">
        <v>87</v>
      </c>
      <c r="D14" s="4"/>
    </row>
    <row r="15" spans="1:4" x14ac:dyDescent="0.25">
      <c r="B15" t="s">
        <v>38</v>
      </c>
      <c r="C15" s="17">
        <v>51</v>
      </c>
      <c r="D15" s="4"/>
    </row>
    <row r="16" spans="1:4" x14ac:dyDescent="0.25">
      <c r="A16" t="s">
        <v>39</v>
      </c>
      <c r="C16" s="17">
        <v>844</v>
      </c>
      <c r="D16" s="4"/>
    </row>
    <row r="17" spans="1:4" x14ac:dyDescent="0.25">
      <c r="A17" t="s">
        <v>2</v>
      </c>
      <c r="B17" t="s">
        <v>4</v>
      </c>
      <c r="C17" s="17">
        <v>92</v>
      </c>
      <c r="D17" s="4">
        <v>1.6285714285714286</v>
      </c>
    </row>
    <row r="18" spans="1:4" x14ac:dyDescent="0.25">
      <c r="B18" t="s">
        <v>5</v>
      </c>
      <c r="C18" s="17">
        <v>125</v>
      </c>
      <c r="D18" s="4">
        <v>0.14678899082568808</v>
      </c>
    </row>
    <row r="19" spans="1:4" x14ac:dyDescent="0.25">
      <c r="B19" t="s">
        <v>6</v>
      </c>
      <c r="C19" s="17">
        <v>140</v>
      </c>
      <c r="D19" s="4">
        <v>0.15702479338842976</v>
      </c>
    </row>
    <row r="20" spans="1:4" x14ac:dyDescent="0.25">
      <c r="B20" t="s">
        <v>7</v>
      </c>
      <c r="C20" s="17">
        <v>146</v>
      </c>
      <c r="D20" s="4">
        <v>1.0277777777777777</v>
      </c>
    </row>
    <row r="21" spans="1:4" x14ac:dyDescent="0.25">
      <c r="B21" t="s">
        <v>8</v>
      </c>
      <c r="C21" s="17">
        <v>145</v>
      </c>
      <c r="D21" s="4">
        <v>0.51041666666666663</v>
      </c>
    </row>
    <row r="22" spans="1:4" x14ac:dyDescent="0.25">
      <c r="B22" t="s">
        <v>9</v>
      </c>
      <c r="C22" s="17">
        <v>137</v>
      </c>
      <c r="D22" s="4">
        <v>3.007518796992481E-2</v>
      </c>
    </row>
    <row r="23" spans="1:4" x14ac:dyDescent="0.25">
      <c r="B23" t="s">
        <v>10</v>
      </c>
      <c r="C23" s="17">
        <v>152</v>
      </c>
      <c r="D23" s="4">
        <v>3.1081081081081079</v>
      </c>
    </row>
    <row r="24" spans="1:4" x14ac:dyDescent="0.25">
      <c r="B24" t="s">
        <v>11</v>
      </c>
      <c r="C24" s="17">
        <v>182</v>
      </c>
      <c r="D24" s="4">
        <v>3.6666666666666665</v>
      </c>
    </row>
    <row r="25" spans="1:4" x14ac:dyDescent="0.25">
      <c r="B25" t="s">
        <v>12</v>
      </c>
      <c r="C25" s="17">
        <v>39</v>
      </c>
      <c r="D25" s="4">
        <v>-0.11363636363636363</v>
      </c>
    </row>
    <row r="26" spans="1:4" x14ac:dyDescent="0.25">
      <c r="A26" t="s">
        <v>40</v>
      </c>
      <c r="C26" s="17">
        <v>1158</v>
      </c>
      <c r="D26" s="4">
        <v>0.37203791469194314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8C0E-FAD5-4351-9DBC-9CA63F31F6C6}">
  <dimension ref="A3:D27"/>
  <sheetViews>
    <sheetView zoomScale="95" zoomScaleNormal="95" workbookViewId="0">
      <selection activeCell="D37" sqref="D37"/>
    </sheetView>
  </sheetViews>
  <sheetFormatPr baseColWidth="10" defaultColWidth="11.42578125" defaultRowHeight="15" x14ac:dyDescent="0.25"/>
  <cols>
    <col min="1" max="1" width="14.140625" bestFit="1" customWidth="1"/>
    <col min="2" max="2" width="7.85546875" bestFit="1" customWidth="1"/>
    <col min="3" max="3" width="7.42578125" bestFit="1" customWidth="1"/>
    <col min="4" max="4" width="8.42578125" bestFit="1" customWidth="1"/>
    <col min="5" max="5" width="15.140625" bestFit="1" customWidth="1"/>
    <col min="6" max="6" width="19.28515625" bestFit="1" customWidth="1"/>
    <col min="7" max="7" width="20.28515625" bestFit="1" customWidth="1"/>
    <col min="8" max="8" width="14.7109375" bestFit="1" customWidth="1"/>
    <col min="9" max="10" width="6.28515625" bestFit="1" customWidth="1"/>
    <col min="11" max="11" width="5.140625" bestFit="1" customWidth="1"/>
    <col min="12" max="12" width="14.7109375" bestFit="1" customWidth="1"/>
    <col min="13" max="14" width="7.28515625" bestFit="1" customWidth="1"/>
    <col min="15" max="17" width="6.28515625" bestFit="1" customWidth="1"/>
    <col min="18" max="19" width="7.28515625" bestFit="1" customWidth="1"/>
    <col min="20" max="21" width="6.28515625" bestFit="1" customWidth="1"/>
    <col min="22" max="22" width="11" bestFit="1" customWidth="1"/>
    <col min="23" max="23" width="19.85546875" bestFit="1" customWidth="1"/>
    <col min="24" max="40" width="6.28515625" bestFit="1" customWidth="1"/>
    <col min="41" max="41" width="7.28515625" bestFit="1" customWidth="1"/>
    <col min="42" max="42" width="11" bestFit="1" customWidth="1"/>
    <col min="43" max="43" width="19.85546875" bestFit="1" customWidth="1"/>
  </cols>
  <sheetData>
    <row r="3" spans="1:4" x14ac:dyDescent="0.25">
      <c r="A3" s="1" t="s">
        <v>41</v>
      </c>
      <c r="B3" s="1" t="s">
        <v>42</v>
      </c>
      <c r="C3" t="s">
        <v>0</v>
      </c>
      <c r="D3" t="s">
        <v>45</v>
      </c>
    </row>
    <row r="4" spans="1:4" x14ac:dyDescent="0.25">
      <c r="A4" t="s">
        <v>1</v>
      </c>
      <c r="B4" t="s">
        <v>4</v>
      </c>
      <c r="C4" s="17">
        <v>18201</v>
      </c>
      <c r="D4" s="4"/>
    </row>
    <row r="5" spans="1:4" x14ac:dyDescent="0.25">
      <c r="B5" t="s">
        <v>5</v>
      </c>
      <c r="C5" s="17">
        <v>45782</v>
      </c>
      <c r="D5" s="4"/>
    </row>
    <row r="6" spans="1:4" x14ac:dyDescent="0.25">
      <c r="B6" t="s">
        <v>6</v>
      </c>
      <c r="C6" s="17">
        <v>67131</v>
      </c>
      <c r="D6" s="4"/>
    </row>
    <row r="7" spans="1:4" x14ac:dyDescent="0.25">
      <c r="B7" t="s">
        <v>7</v>
      </c>
      <c r="C7" s="17">
        <v>28631</v>
      </c>
      <c r="D7" s="4"/>
    </row>
    <row r="8" spans="1:4" x14ac:dyDescent="0.25">
      <c r="B8" t="s">
        <v>8</v>
      </c>
      <c r="C8" s="17">
        <v>42383</v>
      </c>
      <c r="D8" s="4"/>
    </row>
    <row r="9" spans="1:4" x14ac:dyDescent="0.25">
      <c r="B9" t="s">
        <v>9</v>
      </c>
      <c r="C9" s="17">
        <v>64323</v>
      </c>
      <c r="D9" s="4"/>
    </row>
    <row r="10" spans="1:4" x14ac:dyDescent="0.25">
      <c r="B10" t="s">
        <v>10</v>
      </c>
      <c r="C10" s="17">
        <v>16442</v>
      </c>
      <c r="D10" s="4"/>
    </row>
    <row r="11" spans="1:4" x14ac:dyDescent="0.25">
      <c r="B11" t="s">
        <v>11</v>
      </c>
      <c r="C11" s="17">
        <v>19111</v>
      </c>
      <c r="D11" s="4"/>
    </row>
    <row r="12" spans="1:4" x14ac:dyDescent="0.25">
      <c r="B12" t="s">
        <v>12</v>
      </c>
      <c r="C12" s="17">
        <v>12664</v>
      </c>
      <c r="D12" s="4"/>
    </row>
    <row r="13" spans="1:4" x14ac:dyDescent="0.25">
      <c r="B13" t="s">
        <v>37</v>
      </c>
      <c r="C13" s="17">
        <v>9198</v>
      </c>
      <c r="D13" s="4"/>
    </row>
    <row r="14" spans="1:4" x14ac:dyDescent="0.25">
      <c r="B14" t="s">
        <v>13</v>
      </c>
      <c r="C14" s="17">
        <v>40273</v>
      </c>
      <c r="D14" s="4"/>
    </row>
    <row r="15" spans="1:4" x14ac:dyDescent="0.25">
      <c r="B15" t="s">
        <v>38</v>
      </c>
      <c r="C15" s="17">
        <v>21131</v>
      </c>
      <c r="D15" s="4"/>
    </row>
    <row r="16" spans="1:4" x14ac:dyDescent="0.25">
      <c r="A16" t="s">
        <v>39</v>
      </c>
      <c r="C16" s="17">
        <v>385270</v>
      </c>
      <c r="D16" s="4"/>
    </row>
    <row r="17" spans="1:4" x14ac:dyDescent="0.25">
      <c r="A17" t="s">
        <v>2</v>
      </c>
      <c r="B17" t="s">
        <v>4</v>
      </c>
      <c r="C17" s="17">
        <v>40602</v>
      </c>
      <c r="D17" s="4">
        <v>1.2307565518378112</v>
      </c>
    </row>
    <row r="18" spans="1:4" x14ac:dyDescent="0.25">
      <c r="B18" t="s">
        <v>5</v>
      </c>
      <c r="C18" s="17">
        <v>58523</v>
      </c>
      <c r="D18" s="4">
        <v>0.27829714735048711</v>
      </c>
    </row>
    <row r="19" spans="1:4" x14ac:dyDescent="0.25">
      <c r="B19" t="s">
        <v>6</v>
      </c>
      <c r="C19" s="17">
        <v>65712</v>
      </c>
      <c r="D19" s="4">
        <v>-2.1137775394378156E-2</v>
      </c>
    </row>
    <row r="20" spans="1:4" x14ac:dyDescent="0.25">
      <c r="B20" t="s">
        <v>7</v>
      </c>
      <c r="C20" s="17">
        <v>69169</v>
      </c>
      <c r="D20" s="4">
        <v>1.4158778945897803</v>
      </c>
    </row>
    <row r="21" spans="1:4" x14ac:dyDescent="0.25">
      <c r="B21" t="s">
        <v>8</v>
      </c>
      <c r="C21" s="17">
        <v>67572</v>
      </c>
      <c r="D21" s="4">
        <v>0.59431847674775262</v>
      </c>
    </row>
    <row r="22" spans="1:4" x14ac:dyDescent="0.25">
      <c r="B22" t="s">
        <v>9</v>
      </c>
      <c r="C22" s="17">
        <v>64031</v>
      </c>
      <c r="D22" s="4">
        <v>-4.5395892604511608E-3</v>
      </c>
    </row>
    <row r="23" spans="1:4" x14ac:dyDescent="0.25">
      <c r="B23" t="s">
        <v>10</v>
      </c>
      <c r="C23" s="17">
        <v>81432</v>
      </c>
      <c r="D23" s="4">
        <v>3.9526821554555407</v>
      </c>
    </row>
    <row r="24" spans="1:4" x14ac:dyDescent="0.25">
      <c r="B24" t="s">
        <v>11</v>
      </c>
      <c r="C24" s="17">
        <v>71224</v>
      </c>
      <c r="D24" s="4">
        <v>2.7268588770864945</v>
      </c>
    </row>
    <row r="25" spans="1:4" x14ac:dyDescent="0.25">
      <c r="B25" t="s">
        <v>12</v>
      </c>
      <c r="C25" s="17">
        <v>18760</v>
      </c>
      <c r="D25" s="4">
        <v>0.48136449778900819</v>
      </c>
    </row>
    <row r="26" spans="1:4" x14ac:dyDescent="0.25">
      <c r="A26" t="s">
        <v>40</v>
      </c>
      <c r="C26" s="17">
        <v>537025</v>
      </c>
      <c r="D26" s="4">
        <v>0.39389259480364419</v>
      </c>
    </row>
    <row r="27" spans="1:4" x14ac:dyDescent="0.25">
      <c r="A27" t="s">
        <v>3</v>
      </c>
      <c r="C27" s="17">
        <v>922295</v>
      </c>
      <c r="D2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D47F-9C34-42E0-A936-B6D1EB64B0F2}">
  <sheetPr codeName="Feuil3"/>
  <dimension ref="A1:L16"/>
  <sheetViews>
    <sheetView zoomScale="98" zoomScaleNormal="98" workbookViewId="0">
      <selection activeCell="S29" sqref="S29"/>
    </sheetView>
  </sheetViews>
  <sheetFormatPr baseColWidth="10" defaultColWidth="11.42578125" defaultRowHeight="15" x14ac:dyDescent="0.25"/>
  <cols>
    <col min="1" max="1" width="21" bestFit="1" customWidth="1"/>
    <col min="2" max="2" width="15.28515625" bestFit="1" customWidth="1"/>
    <col min="3" max="3" width="11.7109375" bestFit="1" customWidth="1"/>
    <col min="4" max="4" width="9.7109375" bestFit="1" customWidth="1"/>
    <col min="5" max="5" width="6.28515625" bestFit="1" customWidth="1"/>
    <col min="6" max="6" width="21" bestFit="1" customWidth="1"/>
    <col min="7" max="7" width="15.28515625" bestFit="1" customWidth="1"/>
    <col min="8" max="9" width="6.28515625" bestFit="1" customWidth="1"/>
    <col min="10" max="10" width="21" bestFit="1" customWidth="1"/>
    <col min="11" max="11" width="11.7109375" bestFit="1" customWidth="1"/>
    <col min="12" max="12" width="9.7109375" bestFit="1" customWidth="1"/>
    <col min="13" max="14" width="7.28515625" bestFit="1" customWidth="1"/>
    <col min="15" max="17" width="6.28515625" bestFit="1" customWidth="1"/>
    <col min="18" max="19" width="7.28515625" bestFit="1" customWidth="1"/>
    <col min="20" max="21" width="6.28515625" bestFit="1" customWidth="1"/>
    <col min="22" max="22" width="11" bestFit="1" customWidth="1"/>
    <col min="23" max="23" width="19.85546875" bestFit="1" customWidth="1"/>
    <col min="24" max="40" width="6.28515625" bestFit="1" customWidth="1"/>
    <col min="41" max="41" width="7.28515625" bestFit="1" customWidth="1"/>
    <col min="42" max="42" width="11" bestFit="1" customWidth="1"/>
    <col min="43" max="43" width="19.85546875" bestFit="1" customWidth="1"/>
  </cols>
  <sheetData>
    <row r="1" spans="1:12" x14ac:dyDescent="0.25">
      <c r="A1" s="1" t="s">
        <v>46</v>
      </c>
      <c r="B1" t="s">
        <v>1</v>
      </c>
      <c r="F1" s="1" t="s">
        <v>46</v>
      </c>
      <c r="G1" t="s">
        <v>1</v>
      </c>
      <c r="J1" s="1" t="s">
        <v>46</v>
      </c>
      <c r="K1" t="s">
        <v>1</v>
      </c>
    </row>
    <row r="3" spans="1:12" x14ac:dyDescent="0.25">
      <c r="A3" s="1" t="s">
        <v>14</v>
      </c>
      <c r="B3" t="s">
        <v>0</v>
      </c>
      <c r="C3" t="s">
        <v>47</v>
      </c>
      <c r="D3" t="s">
        <v>48</v>
      </c>
      <c r="F3" s="1" t="s">
        <v>14</v>
      </c>
      <c r="G3" t="s">
        <v>0</v>
      </c>
      <c r="J3" s="1" t="s">
        <v>14</v>
      </c>
      <c r="K3" t="s">
        <v>47</v>
      </c>
      <c r="L3" t="s">
        <v>48</v>
      </c>
    </row>
    <row r="4" spans="1:12" x14ac:dyDescent="0.25">
      <c r="A4" s="2" t="s">
        <v>4</v>
      </c>
      <c r="B4" s="11">
        <v>18201</v>
      </c>
      <c r="C4" s="9"/>
      <c r="D4" s="4"/>
      <c r="F4" s="2" t="s">
        <v>4</v>
      </c>
      <c r="G4" s="11">
        <v>18201</v>
      </c>
      <c r="J4" s="2" t="s">
        <v>4</v>
      </c>
      <c r="K4" s="9"/>
      <c r="L4" s="4"/>
    </row>
    <row r="5" spans="1:12" x14ac:dyDescent="0.25">
      <c r="A5" s="2" t="s">
        <v>5</v>
      </c>
      <c r="B5" s="11">
        <v>45782</v>
      </c>
      <c r="C5" s="9">
        <v>27581</v>
      </c>
      <c r="D5" s="4">
        <v>1.5153562991044449</v>
      </c>
      <c r="F5" s="2" t="s">
        <v>5</v>
      </c>
      <c r="G5" s="11">
        <v>45782</v>
      </c>
      <c r="J5" s="2" t="s">
        <v>5</v>
      </c>
      <c r="K5" s="9">
        <v>27581</v>
      </c>
      <c r="L5" s="4">
        <v>1.5153562991044449</v>
      </c>
    </row>
    <row r="6" spans="1:12" x14ac:dyDescent="0.25">
      <c r="A6" s="2" t="s">
        <v>6</v>
      </c>
      <c r="B6" s="11">
        <v>67131</v>
      </c>
      <c r="C6" s="9">
        <v>21349</v>
      </c>
      <c r="D6" s="4">
        <v>0.466318640513739</v>
      </c>
      <c r="F6" s="2" t="s">
        <v>6</v>
      </c>
      <c r="G6" s="11">
        <v>67131</v>
      </c>
      <c r="J6" s="2" t="s">
        <v>6</v>
      </c>
      <c r="K6" s="9">
        <v>21349</v>
      </c>
      <c r="L6" s="4">
        <v>0.466318640513739</v>
      </c>
    </row>
    <row r="7" spans="1:12" x14ac:dyDescent="0.25">
      <c r="A7" s="2" t="s">
        <v>7</v>
      </c>
      <c r="B7" s="11">
        <v>28631</v>
      </c>
      <c r="C7" s="9">
        <v>-38500</v>
      </c>
      <c r="D7" s="4">
        <v>-0.57350553395599646</v>
      </c>
      <c r="F7" s="2" t="s">
        <v>7</v>
      </c>
      <c r="G7" s="11">
        <v>28631</v>
      </c>
      <c r="J7" s="2" t="s">
        <v>7</v>
      </c>
      <c r="K7" s="9">
        <v>-38500</v>
      </c>
      <c r="L7" s="4">
        <v>-0.57350553395599646</v>
      </c>
    </row>
    <row r="8" spans="1:12" x14ac:dyDescent="0.25">
      <c r="A8" s="2" t="s">
        <v>8</v>
      </c>
      <c r="B8" s="11">
        <v>42383</v>
      </c>
      <c r="C8" s="9">
        <v>13752</v>
      </c>
      <c r="D8" s="4">
        <v>0.48031853585274703</v>
      </c>
      <c r="F8" s="2" t="s">
        <v>8</v>
      </c>
      <c r="G8" s="11">
        <v>42383</v>
      </c>
      <c r="J8" s="2" t="s">
        <v>8</v>
      </c>
      <c r="K8" s="9">
        <v>13752</v>
      </c>
      <c r="L8" s="4">
        <v>0.48031853585274703</v>
      </c>
    </row>
    <row r="9" spans="1:12" x14ac:dyDescent="0.25">
      <c r="A9" s="2" t="s">
        <v>9</v>
      </c>
      <c r="B9" s="11">
        <v>64323</v>
      </c>
      <c r="C9" s="9">
        <v>21940</v>
      </c>
      <c r="D9" s="4">
        <v>0.5176603827006111</v>
      </c>
      <c r="F9" s="2" t="s">
        <v>9</v>
      </c>
      <c r="G9" s="11">
        <v>64323</v>
      </c>
      <c r="J9" s="2" t="s">
        <v>9</v>
      </c>
      <c r="K9" s="9">
        <v>21940</v>
      </c>
      <c r="L9" s="4">
        <v>0.5176603827006111</v>
      </c>
    </row>
    <row r="10" spans="1:12" x14ac:dyDescent="0.25">
      <c r="A10" s="2" t="s">
        <v>10</v>
      </c>
      <c r="B10" s="11">
        <v>16442</v>
      </c>
      <c r="C10" s="9">
        <v>-47881</v>
      </c>
      <c r="D10" s="4">
        <v>-0.74438381294404798</v>
      </c>
      <c r="F10" s="2" t="s">
        <v>10</v>
      </c>
      <c r="G10" s="11">
        <v>16442</v>
      </c>
      <c r="J10" s="2" t="s">
        <v>10</v>
      </c>
      <c r="K10" s="9">
        <v>-47881</v>
      </c>
      <c r="L10" s="4">
        <v>-0.74438381294404798</v>
      </c>
    </row>
    <row r="11" spans="1:12" x14ac:dyDescent="0.25">
      <c r="A11" s="2" t="s">
        <v>11</v>
      </c>
      <c r="B11" s="11">
        <v>19111</v>
      </c>
      <c r="C11" s="9">
        <v>2669</v>
      </c>
      <c r="D11" s="4">
        <v>0.16232818391923123</v>
      </c>
      <c r="F11" s="2" t="s">
        <v>11</v>
      </c>
      <c r="G11" s="11">
        <v>19111</v>
      </c>
      <c r="J11" s="2" t="s">
        <v>11</v>
      </c>
      <c r="K11" s="9">
        <v>2669</v>
      </c>
      <c r="L11" s="4">
        <v>0.16232818391923123</v>
      </c>
    </row>
    <row r="12" spans="1:12" x14ac:dyDescent="0.25">
      <c r="A12" s="2" t="s">
        <v>12</v>
      </c>
      <c r="B12" s="11">
        <v>12664</v>
      </c>
      <c r="C12" s="9">
        <v>-6447</v>
      </c>
      <c r="D12" s="4">
        <v>-0.33734498456386375</v>
      </c>
      <c r="F12" s="2" t="s">
        <v>12</v>
      </c>
      <c r="G12" s="11">
        <v>12664</v>
      </c>
      <c r="J12" s="2" t="s">
        <v>12</v>
      </c>
      <c r="K12" s="9">
        <v>-6447</v>
      </c>
      <c r="L12" s="4">
        <v>-0.33734498456386375</v>
      </c>
    </row>
    <row r="13" spans="1:12" x14ac:dyDescent="0.25">
      <c r="A13" s="2" t="s">
        <v>37</v>
      </c>
      <c r="B13" s="11">
        <v>9198</v>
      </c>
      <c r="C13" s="9">
        <v>-3466</v>
      </c>
      <c r="D13" s="4">
        <v>-0.273689197725837</v>
      </c>
      <c r="F13" s="2" t="s">
        <v>37</v>
      </c>
      <c r="G13" s="11">
        <v>9198</v>
      </c>
      <c r="J13" s="2" t="s">
        <v>37</v>
      </c>
      <c r="K13" s="9">
        <v>-3466</v>
      </c>
      <c r="L13" s="4">
        <v>-0.273689197725837</v>
      </c>
    </row>
    <row r="14" spans="1:12" x14ac:dyDescent="0.25">
      <c r="A14" s="2" t="s">
        <v>13</v>
      </c>
      <c r="B14" s="11">
        <v>40273</v>
      </c>
      <c r="C14" s="9">
        <v>31075</v>
      </c>
      <c r="D14" s="4">
        <v>3.3784518373559469</v>
      </c>
      <c r="F14" s="2" t="s">
        <v>13</v>
      </c>
      <c r="G14" s="11">
        <v>40273</v>
      </c>
      <c r="J14" s="2" t="s">
        <v>13</v>
      </c>
      <c r="K14" s="9">
        <v>31075</v>
      </c>
      <c r="L14" s="4">
        <v>3.3784518373559469</v>
      </c>
    </row>
    <row r="15" spans="1:12" x14ac:dyDescent="0.25">
      <c r="A15" s="2" t="s">
        <v>38</v>
      </c>
      <c r="B15" s="11">
        <v>21131</v>
      </c>
      <c r="C15" s="9">
        <v>-19142</v>
      </c>
      <c r="D15" s="4">
        <v>-0.47530603630223722</v>
      </c>
      <c r="F15" s="2" t="s">
        <v>38</v>
      </c>
      <c r="G15" s="11">
        <v>21131</v>
      </c>
      <c r="J15" s="2" t="s">
        <v>38</v>
      </c>
      <c r="K15" s="9">
        <v>-19142</v>
      </c>
      <c r="L15" s="4">
        <v>-0.47530603630223722</v>
      </c>
    </row>
    <row r="16" spans="1:12" x14ac:dyDescent="0.25">
      <c r="A16" s="2" t="s">
        <v>3</v>
      </c>
      <c r="B16" s="11">
        <v>385270</v>
      </c>
      <c r="C16" s="9"/>
      <c r="D16" s="4"/>
      <c r="F16" s="2" t="s">
        <v>3</v>
      </c>
      <c r="G16" s="11">
        <v>385270</v>
      </c>
      <c r="J16" s="2" t="s">
        <v>3</v>
      </c>
      <c r="K16" s="9"/>
      <c r="L16" s="4"/>
    </row>
  </sheetData>
  <conditionalFormatting pivot="1" sqref="C4:C16">
    <cfRule type="cellIs" dxfId="57" priority="3" operator="lessThan">
      <formula>0</formula>
    </cfRule>
  </conditionalFormatting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52E5-DB95-41DC-A9E7-1BC8BAA00B85}">
  <dimension ref="A3:G124"/>
  <sheetViews>
    <sheetView zoomScale="95" zoomScaleNormal="95" workbookViewId="0">
      <selection activeCell="A13" sqref="A13"/>
    </sheetView>
  </sheetViews>
  <sheetFormatPr baseColWidth="10" defaultColWidth="11.42578125" defaultRowHeight="15" x14ac:dyDescent="0.25"/>
  <cols>
    <col min="1" max="1" width="21" bestFit="1" customWidth="1"/>
    <col min="2" max="2" width="7.42578125" bestFit="1" customWidth="1"/>
    <col min="3" max="3" width="10" bestFit="1" customWidth="1"/>
    <col min="4" max="5" width="5.5703125" bestFit="1" customWidth="1"/>
    <col min="6" max="6" width="10" bestFit="1" customWidth="1"/>
    <col min="7" max="7" width="10.7109375" bestFit="1" customWidth="1"/>
    <col min="8" max="8" width="10" bestFit="1" customWidth="1"/>
    <col min="9" max="10" width="6.28515625" bestFit="1" customWidth="1"/>
    <col min="11" max="11" width="5.140625" bestFit="1" customWidth="1"/>
    <col min="12" max="12" width="14.7109375" bestFit="1" customWidth="1"/>
    <col min="13" max="14" width="7.28515625" bestFit="1" customWidth="1"/>
    <col min="15" max="17" width="6.28515625" bestFit="1" customWidth="1"/>
    <col min="18" max="19" width="7.28515625" bestFit="1" customWidth="1"/>
    <col min="20" max="21" width="6.28515625" bestFit="1" customWidth="1"/>
    <col min="22" max="22" width="11" bestFit="1" customWidth="1"/>
    <col min="23" max="23" width="19.85546875" bestFit="1" customWidth="1"/>
    <col min="24" max="40" width="6.28515625" bestFit="1" customWidth="1"/>
    <col min="41" max="41" width="7.28515625" bestFit="1" customWidth="1"/>
    <col min="42" max="42" width="11" bestFit="1" customWidth="1"/>
    <col min="43" max="43" width="19.85546875" bestFit="1" customWidth="1"/>
  </cols>
  <sheetData>
    <row r="3" spans="1:4" x14ac:dyDescent="0.25">
      <c r="A3" s="1" t="s">
        <v>14</v>
      </c>
      <c r="B3" t="s">
        <v>0</v>
      </c>
      <c r="C3" t="s">
        <v>49</v>
      </c>
      <c r="D3" s="16" t="s">
        <v>50</v>
      </c>
    </row>
    <row r="4" spans="1:4" x14ac:dyDescent="0.25">
      <c r="A4" s="2" t="s">
        <v>1</v>
      </c>
      <c r="B4" s="17"/>
      <c r="C4" s="4"/>
      <c r="D4" s="16"/>
    </row>
    <row r="5" spans="1:4" x14ac:dyDescent="0.25">
      <c r="A5" s="10" t="s">
        <v>6</v>
      </c>
      <c r="B5" s="17">
        <v>67131</v>
      </c>
      <c r="C5" s="4">
        <v>7.2786906575444954E-2</v>
      </c>
      <c r="D5" s="16">
        <v>1</v>
      </c>
    </row>
    <row r="6" spans="1:4" x14ac:dyDescent="0.25">
      <c r="A6" s="10" t="s">
        <v>9</v>
      </c>
      <c r="B6" s="17">
        <v>64323</v>
      </c>
      <c r="C6" s="4">
        <v>6.9742327563306755E-2</v>
      </c>
      <c r="D6" s="16">
        <v>2</v>
      </c>
    </row>
    <row r="7" spans="1:4" x14ac:dyDescent="0.25">
      <c r="A7" s="10" t="s">
        <v>5</v>
      </c>
      <c r="B7" s="17">
        <v>45782</v>
      </c>
      <c r="C7" s="4">
        <v>4.9639215218558054E-2</v>
      </c>
      <c r="D7" s="16">
        <v>3</v>
      </c>
    </row>
    <row r="8" spans="1:4" x14ac:dyDescent="0.25">
      <c r="A8" s="10" t="s">
        <v>8</v>
      </c>
      <c r="B8" s="17">
        <v>42383</v>
      </c>
      <c r="C8" s="4">
        <v>4.5953843401514698E-2</v>
      </c>
      <c r="D8" s="16">
        <v>4</v>
      </c>
    </row>
    <row r="9" spans="1:4" x14ac:dyDescent="0.25">
      <c r="A9" s="10" t="s">
        <v>13</v>
      </c>
      <c r="B9" s="17">
        <v>40273</v>
      </c>
      <c r="C9" s="4">
        <v>4.3666072135271253E-2</v>
      </c>
      <c r="D9" s="16">
        <v>5</v>
      </c>
    </row>
    <row r="10" spans="1:4" x14ac:dyDescent="0.25">
      <c r="A10" s="10" t="s">
        <v>7</v>
      </c>
      <c r="B10" s="17">
        <v>28631</v>
      </c>
      <c r="C10" s="4">
        <v>3.1043212854889164E-2</v>
      </c>
      <c r="D10" s="16">
        <v>6</v>
      </c>
    </row>
    <row r="11" spans="1:4" x14ac:dyDescent="0.25">
      <c r="A11" s="10" t="s">
        <v>38</v>
      </c>
      <c r="B11" s="17">
        <v>21131</v>
      </c>
      <c r="C11" s="4">
        <v>2.2911324467767905E-2</v>
      </c>
      <c r="D11" s="16">
        <v>7</v>
      </c>
    </row>
    <row r="12" spans="1:4" x14ac:dyDescent="0.25">
      <c r="A12" s="10" t="s">
        <v>11</v>
      </c>
      <c r="B12" s="17">
        <v>19111</v>
      </c>
      <c r="C12" s="4">
        <v>2.0721135862169913E-2</v>
      </c>
      <c r="D12" s="16">
        <v>8</v>
      </c>
    </row>
    <row r="13" spans="1:4" x14ac:dyDescent="0.25">
      <c r="A13" s="10" t="s">
        <v>4</v>
      </c>
      <c r="B13" s="17">
        <v>18201</v>
      </c>
      <c r="C13" s="4">
        <v>1.9734466737865868E-2</v>
      </c>
      <c r="D13" s="16">
        <v>9</v>
      </c>
    </row>
    <row r="14" spans="1:4" x14ac:dyDescent="0.25">
      <c r="A14" s="10" t="s">
        <v>10</v>
      </c>
      <c r="B14" s="17">
        <v>16442</v>
      </c>
      <c r="C14" s="4">
        <v>1.7827267848139695E-2</v>
      </c>
      <c r="D14" s="16">
        <v>10</v>
      </c>
    </row>
    <row r="15" spans="1:4" x14ac:dyDescent="0.25">
      <c r="A15" s="10" t="s">
        <v>12</v>
      </c>
      <c r="B15" s="17">
        <v>12664</v>
      </c>
      <c r="C15" s="4">
        <v>1.3730964604600481E-2</v>
      </c>
      <c r="D15" s="16">
        <v>11</v>
      </c>
    </row>
    <row r="16" spans="1:4" x14ac:dyDescent="0.25">
      <c r="A16" s="10" t="s">
        <v>37</v>
      </c>
      <c r="B16" s="17">
        <v>9198</v>
      </c>
      <c r="C16" s="4">
        <v>9.9729479179655103E-3</v>
      </c>
      <c r="D16" s="16">
        <v>12</v>
      </c>
    </row>
    <row r="17" spans="1:4" x14ac:dyDescent="0.25">
      <c r="A17" s="2" t="s">
        <v>2</v>
      </c>
      <c r="B17" s="17"/>
      <c r="C17" s="4"/>
      <c r="D17" s="16"/>
    </row>
    <row r="18" spans="1:4" x14ac:dyDescent="0.25">
      <c r="A18" s="10" t="s">
        <v>10</v>
      </c>
      <c r="B18" s="17">
        <v>81432</v>
      </c>
      <c r="C18" s="4">
        <v>8.8292791352007766E-2</v>
      </c>
      <c r="D18" s="16">
        <v>1</v>
      </c>
    </row>
    <row r="19" spans="1:4" x14ac:dyDescent="0.25">
      <c r="A19" s="10" t="s">
        <v>11</v>
      </c>
      <c r="B19" s="17">
        <v>71224</v>
      </c>
      <c r="C19" s="4">
        <v>7.7224749131243262E-2</v>
      </c>
      <c r="D19" s="16">
        <v>2</v>
      </c>
    </row>
    <row r="20" spans="1:4" x14ac:dyDescent="0.25">
      <c r="A20" s="10" t="s">
        <v>7</v>
      </c>
      <c r="B20" s="17">
        <v>69169</v>
      </c>
      <c r="C20" s="4">
        <v>7.4996611713172026E-2</v>
      </c>
      <c r="D20" s="16">
        <v>3</v>
      </c>
    </row>
    <row r="21" spans="1:4" x14ac:dyDescent="0.25">
      <c r="A21" s="10" t="s">
        <v>8</v>
      </c>
      <c r="B21" s="17">
        <v>67572</v>
      </c>
      <c r="C21" s="4">
        <v>7.3265061612607679E-2</v>
      </c>
      <c r="D21" s="16">
        <v>4</v>
      </c>
    </row>
    <row r="22" spans="1:4" x14ac:dyDescent="0.25">
      <c r="A22" s="10" t="s">
        <v>6</v>
      </c>
      <c r="B22" s="17">
        <v>65712</v>
      </c>
      <c r="C22" s="4">
        <v>7.124835329260161E-2</v>
      </c>
      <c r="D22" s="16">
        <v>5</v>
      </c>
    </row>
    <row r="23" spans="1:4" x14ac:dyDescent="0.25">
      <c r="A23" s="10" t="s">
        <v>9</v>
      </c>
      <c r="B23" s="17">
        <v>64031</v>
      </c>
      <c r="C23" s="4">
        <v>6.9425726042101496E-2</v>
      </c>
      <c r="D23" s="16">
        <v>6</v>
      </c>
    </row>
    <row r="24" spans="1:4" x14ac:dyDescent="0.25">
      <c r="A24" s="10" t="s">
        <v>5</v>
      </c>
      <c r="B24" s="17">
        <v>58523</v>
      </c>
      <c r="C24" s="4">
        <v>6.345366721059964E-2</v>
      </c>
      <c r="D24" s="16">
        <v>7</v>
      </c>
    </row>
    <row r="25" spans="1:4" x14ac:dyDescent="0.25">
      <c r="A25" s="10" t="s">
        <v>4</v>
      </c>
      <c r="B25" s="17">
        <v>40602</v>
      </c>
      <c r="C25" s="4">
        <v>4.402279097251964E-2</v>
      </c>
      <c r="D25" s="16">
        <v>8</v>
      </c>
    </row>
    <row r="26" spans="1:4" x14ac:dyDescent="0.25">
      <c r="A26" s="10" t="s">
        <v>12</v>
      </c>
      <c r="B26" s="17">
        <v>18760</v>
      </c>
      <c r="C26" s="4">
        <v>2.0340563485652639E-2</v>
      </c>
      <c r="D26" s="16">
        <v>9</v>
      </c>
    </row>
    <row r="27" spans="1:4" x14ac:dyDescent="0.25">
      <c r="A27" s="2" t="s">
        <v>3</v>
      </c>
      <c r="B27" s="17">
        <v>922295</v>
      </c>
      <c r="C27" s="4">
        <v>1</v>
      </c>
      <c r="D27" s="16"/>
    </row>
    <row r="38" spans="7:7" x14ac:dyDescent="0.25">
      <c r="G38" s="3"/>
    </row>
    <row r="39" spans="7:7" x14ac:dyDescent="0.25">
      <c r="G39" s="3"/>
    </row>
    <row r="40" spans="7:7" x14ac:dyDescent="0.25">
      <c r="G40" s="3"/>
    </row>
    <row r="41" spans="7:7" x14ac:dyDescent="0.25">
      <c r="G41" s="3"/>
    </row>
    <row r="42" spans="7:7" x14ac:dyDescent="0.25">
      <c r="G42" s="3"/>
    </row>
    <row r="43" spans="7:7" x14ac:dyDescent="0.25">
      <c r="G43" s="3"/>
    </row>
    <row r="44" spans="7:7" x14ac:dyDescent="0.25">
      <c r="G44" s="3"/>
    </row>
    <row r="45" spans="7:7" x14ac:dyDescent="0.25">
      <c r="G45" s="3"/>
    </row>
    <row r="46" spans="7:7" x14ac:dyDescent="0.25">
      <c r="G46" s="3"/>
    </row>
    <row r="47" spans="7:7" x14ac:dyDescent="0.25">
      <c r="G47" s="3"/>
    </row>
    <row r="48" spans="7:7" x14ac:dyDescent="0.25">
      <c r="G48" s="3"/>
    </row>
    <row r="49" spans="7:7" x14ac:dyDescent="0.25">
      <c r="G49" s="3"/>
    </row>
    <row r="50" spans="7:7" x14ac:dyDescent="0.25">
      <c r="G50" s="3"/>
    </row>
    <row r="51" spans="7:7" x14ac:dyDescent="0.25">
      <c r="G51" s="3"/>
    </row>
    <row r="52" spans="7:7" x14ac:dyDescent="0.25">
      <c r="G52" s="3"/>
    </row>
    <row r="53" spans="7:7" x14ac:dyDescent="0.25">
      <c r="G53" s="3"/>
    </row>
    <row r="54" spans="7:7" x14ac:dyDescent="0.25">
      <c r="G54" s="3"/>
    </row>
    <row r="55" spans="7:7" x14ac:dyDescent="0.25">
      <c r="G55" s="3"/>
    </row>
    <row r="56" spans="7:7" x14ac:dyDescent="0.25">
      <c r="G56" s="3"/>
    </row>
    <row r="57" spans="7:7" x14ac:dyDescent="0.25">
      <c r="G57" s="3"/>
    </row>
    <row r="58" spans="7:7" x14ac:dyDescent="0.25">
      <c r="G58" s="3"/>
    </row>
    <row r="59" spans="7:7" x14ac:dyDescent="0.25">
      <c r="G59" s="3"/>
    </row>
    <row r="60" spans="7:7" x14ac:dyDescent="0.25">
      <c r="G60" s="3"/>
    </row>
    <row r="61" spans="7:7" x14ac:dyDescent="0.25">
      <c r="G61" s="3"/>
    </row>
    <row r="62" spans="7:7" x14ac:dyDescent="0.25">
      <c r="G62" s="3"/>
    </row>
    <row r="63" spans="7:7" x14ac:dyDescent="0.25">
      <c r="G63" s="3"/>
    </row>
    <row r="64" spans="7:7" x14ac:dyDescent="0.25">
      <c r="G64" s="3"/>
    </row>
    <row r="65" spans="7:7" x14ac:dyDescent="0.25">
      <c r="G65" s="3"/>
    </row>
    <row r="66" spans="7:7" x14ac:dyDescent="0.25">
      <c r="G66" s="3"/>
    </row>
    <row r="67" spans="7:7" x14ac:dyDescent="0.25">
      <c r="G67" s="3"/>
    </row>
    <row r="68" spans="7:7" x14ac:dyDescent="0.25">
      <c r="G68" s="3"/>
    </row>
    <row r="69" spans="7:7" x14ac:dyDescent="0.25">
      <c r="G69" s="3"/>
    </row>
    <row r="70" spans="7:7" x14ac:dyDescent="0.25">
      <c r="G70" s="3"/>
    </row>
    <row r="71" spans="7:7" x14ac:dyDescent="0.25">
      <c r="G71" s="3"/>
    </row>
    <row r="72" spans="7:7" x14ac:dyDescent="0.25">
      <c r="G72" s="3"/>
    </row>
    <row r="73" spans="7:7" x14ac:dyDescent="0.25">
      <c r="G73" s="3"/>
    </row>
    <row r="74" spans="7:7" x14ac:dyDescent="0.25">
      <c r="G74" s="3"/>
    </row>
    <row r="75" spans="7:7" x14ac:dyDescent="0.25">
      <c r="G75" s="3"/>
    </row>
    <row r="76" spans="7:7" x14ac:dyDescent="0.25">
      <c r="G76" s="3"/>
    </row>
    <row r="77" spans="7:7" x14ac:dyDescent="0.25">
      <c r="G77" s="3"/>
    </row>
    <row r="78" spans="7:7" x14ac:dyDescent="0.25">
      <c r="G78" s="3"/>
    </row>
    <row r="79" spans="7:7" x14ac:dyDescent="0.25">
      <c r="G79" s="3"/>
    </row>
    <row r="80" spans="7:7" x14ac:dyDescent="0.25">
      <c r="G80" s="3"/>
    </row>
    <row r="81" spans="7:7" x14ac:dyDescent="0.25">
      <c r="G81" s="3"/>
    </row>
    <row r="82" spans="7:7" x14ac:dyDescent="0.25">
      <c r="G82" s="3"/>
    </row>
    <row r="83" spans="7:7" x14ac:dyDescent="0.25">
      <c r="G83" s="3"/>
    </row>
    <row r="84" spans="7:7" x14ac:dyDescent="0.25">
      <c r="G84" s="3"/>
    </row>
    <row r="85" spans="7:7" x14ac:dyDescent="0.25">
      <c r="G85" s="3"/>
    </row>
    <row r="86" spans="7:7" x14ac:dyDescent="0.25">
      <c r="G86" s="3"/>
    </row>
    <row r="87" spans="7:7" x14ac:dyDescent="0.25">
      <c r="G87" s="3"/>
    </row>
    <row r="88" spans="7:7" x14ac:dyDescent="0.25">
      <c r="G88" s="3"/>
    </row>
    <row r="89" spans="7:7" x14ac:dyDescent="0.25">
      <c r="G89" s="3"/>
    </row>
    <row r="90" spans="7:7" x14ac:dyDescent="0.25">
      <c r="G90" s="3"/>
    </row>
    <row r="91" spans="7:7" x14ac:dyDescent="0.25">
      <c r="G91" s="3"/>
    </row>
    <row r="92" spans="7:7" x14ac:dyDescent="0.25">
      <c r="G92" s="3"/>
    </row>
    <row r="93" spans="7:7" x14ac:dyDescent="0.25">
      <c r="G93" s="3"/>
    </row>
    <row r="94" spans="7:7" x14ac:dyDescent="0.25">
      <c r="G94" s="3"/>
    </row>
    <row r="95" spans="7:7" x14ac:dyDescent="0.25">
      <c r="G95" s="3"/>
    </row>
    <row r="96" spans="7:7" x14ac:dyDescent="0.25">
      <c r="G96" s="3"/>
    </row>
    <row r="97" spans="7:7" x14ac:dyDescent="0.25">
      <c r="G97" s="3"/>
    </row>
    <row r="98" spans="7:7" x14ac:dyDescent="0.25">
      <c r="G98" s="3"/>
    </row>
    <row r="99" spans="7:7" x14ac:dyDescent="0.25">
      <c r="G99" s="3"/>
    </row>
    <row r="100" spans="7:7" x14ac:dyDescent="0.25">
      <c r="G100" s="3"/>
    </row>
    <row r="101" spans="7:7" x14ac:dyDescent="0.25">
      <c r="G101" s="3"/>
    </row>
    <row r="102" spans="7:7" x14ac:dyDescent="0.25">
      <c r="G102" s="3"/>
    </row>
    <row r="103" spans="7:7" x14ac:dyDescent="0.25">
      <c r="G103" s="3"/>
    </row>
    <row r="104" spans="7:7" x14ac:dyDescent="0.25">
      <c r="G104" s="3"/>
    </row>
    <row r="105" spans="7:7" x14ac:dyDescent="0.25">
      <c r="G105" s="3"/>
    </row>
    <row r="106" spans="7:7" x14ac:dyDescent="0.25">
      <c r="G106" s="3"/>
    </row>
    <row r="107" spans="7:7" x14ac:dyDescent="0.25">
      <c r="G107" s="3"/>
    </row>
    <row r="108" spans="7:7" x14ac:dyDescent="0.25">
      <c r="G108" s="3"/>
    </row>
    <row r="109" spans="7:7" x14ac:dyDescent="0.25">
      <c r="G109" s="3"/>
    </row>
    <row r="110" spans="7:7" x14ac:dyDescent="0.25">
      <c r="G110" s="3"/>
    </row>
    <row r="111" spans="7:7" x14ac:dyDescent="0.25">
      <c r="G111" s="3"/>
    </row>
    <row r="112" spans="7:7" x14ac:dyDescent="0.25">
      <c r="G112" s="3"/>
    </row>
    <row r="113" spans="7:7" x14ac:dyDescent="0.25">
      <c r="G113" s="3"/>
    </row>
    <row r="114" spans="7:7" x14ac:dyDescent="0.25">
      <c r="G114" s="3"/>
    </row>
    <row r="115" spans="7:7" x14ac:dyDescent="0.25">
      <c r="G115" s="3"/>
    </row>
    <row r="116" spans="7:7" x14ac:dyDescent="0.25">
      <c r="G116" s="3"/>
    </row>
    <row r="117" spans="7:7" x14ac:dyDescent="0.25">
      <c r="G117" s="3"/>
    </row>
    <row r="118" spans="7:7" x14ac:dyDescent="0.25">
      <c r="G118" s="3"/>
    </row>
    <row r="119" spans="7:7" x14ac:dyDescent="0.25">
      <c r="G119" s="3"/>
    </row>
    <row r="120" spans="7:7" x14ac:dyDescent="0.25">
      <c r="G120" s="3"/>
    </row>
    <row r="121" spans="7:7" x14ac:dyDescent="0.25">
      <c r="G121" s="3"/>
    </row>
    <row r="122" spans="7:7" x14ac:dyDescent="0.25">
      <c r="G122" s="3"/>
    </row>
    <row r="123" spans="7:7" x14ac:dyDescent="0.25">
      <c r="G123" s="3"/>
    </row>
    <row r="124" spans="7:7" x14ac:dyDescent="0.25">
      <c r="G124" s="3"/>
    </row>
  </sheetData>
  <conditionalFormatting pivot="1" sqref="C5:C16 C17 C18:C26">
    <cfRule type="top10" dxfId="48" priority="1" rank="5"/>
  </conditionalFormatting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A37D-2AA4-47B6-AC9C-F63B0EF54B93}">
  <sheetPr codeName="Feuil1"/>
  <dimension ref="A3:F27"/>
  <sheetViews>
    <sheetView zoomScale="95" zoomScaleNormal="95" workbookViewId="0">
      <selection activeCell="B8" sqref="B8"/>
    </sheetView>
  </sheetViews>
  <sheetFormatPr baseColWidth="10" defaultColWidth="11.42578125" defaultRowHeight="15" x14ac:dyDescent="0.25"/>
  <cols>
    <col min="1" max="1" width="12.5703125" bestFit="1" customWidth="1"/>
    <col min="2" max="2" width="5.28515625" bestFit="1" customWidth="1"/>
    <col min="3" max="3" width="7.42578125" bestFit="1" customWidth="1"/>
    <col min="4" max="4" width="21.42578125" bestFit="1" customWidth="1"/>
    <col min="5" max="5" width="12.42578125" bestFit="1" customWidth="1"/>
    <col min="6" max="6" width="10" bestFit="1" customWidth="1"/>
    <col min="7" max="7" width="5.5703125" bestFit="1" customWidth="1"/>
    <col min="8" max="8" width="14.7109375" bestFit="1" customWidth="1"/>
    <col min="9" max="10" width="6.28515625" bestFit="1" customWidth="1"/>
    <col min="11" max="11" width="5.140625" bestFit="1" customWidth="1"/>
    <col min="12" max="12" width="14.7109375" bestFit="1" customWidth="1"/>
    <col min="13" max="14" width="7.28515625" bestFit="1" customWidth="1"/>
    <col min="15" max="17" width="6.28515625" bestFit="1" customWidth="1"/>
    <col min="18" max="19" width="7.28515625" bestFit="1" customWidth="1"/>
    <col min="20" max="21" width="6.28515625" bestFit="1" customWidth="1"/>
    <col min="22" max="22" width="11" bestFit="1" customWidth="1"/>
    <col min="23" max="23" width="19.85546875" bestFit="1" customWidth="1"/>
    <col min="24" max="40" width="6.28515625" bestFit="1" customWidth="1"/>
    <col min="41" max="41" width="7.28515625" bestFit="1" customWidth="1"/>
    <col min="42" max="42" width="11" bestFit="1" customWidth="1"/>
    <col min="43" max="43" width="19.85546875" bestFit="1" customWidth="1"/>
  </cols>
  <sheetData>
    <row r="3" spans="1:6" x14ac:dyDescent="0.25">
      <c r="C3" t="s">
        <v>0</v>
      </c>
      <c r="D3" t="s">
        <v>51</v>
      </c>
      <c r="E3" t="s">
        <v>52</v>
      </c>
      <c r="F3" t="s">
        <v>49</v>
      </c>
    </row>
    <row r="4" spans="1:6" x14ac:dyDescent="0.25">
      <c r="A4" t="s">
        <v>1</v>
      </c>
      <c r="B4" t="s">
        <v>4</v>
      </c>
      <c r="C4" s="17">
        <v>18201</v>
      </c>
      <c r="D4" s="9">
        <v>18201</v>
      </c>
      <c r="E4" s="4">
        <v>4.7242193786175932E-2</v>
      </c>
      <c r="F4" s="4">
        <v>1.9734466737865868E-2</v>
      </c>
    </row>
    <row r="5" spans="1:6" x14ac:dyDescent="0.25">
      <c r="B5" t="s">
        <v>5</v>
      </c>
      <c r="C5" s="17">
        <v>45782</v>
      </c>
      <c r="D5" s="9">
        <v>45782</v>
      </c>
      <c r="E5" s="4">
        <v>0.11883094972357049</v>
      </c>
      <c r="F5" s="4">
        <v>4.9639215218558054E-2</v>
      </c>
    </row>
    <row r="6" spans="1:6" x14ac:dyDescent="0.25">
      <c r="B6" t="s">
        <v>6</v>
      </c>
      <c r="C6" s="17">
        <v>67131</v>
      </c>
      <c r="D6" s="9">
        <v>67131</v>
      </c>
      <c r="E6" s="4">
        <v>0.17424403664962235</v>
      </c>
      <c r="F6" s="4">
        <v>7.2786906575444954E-2</v>
      </c>
    </row>
    <row r="7" spans="1:6" x14ac:dyDescent="0.25">
      <c r="B7" t="s">
        <v>7</v>
      </c>
      <c r="C7" s="17">
        <v>28631</v>
      </c>
      <c r="D7" s="9">
        <v>28631</v>
      </c>
      <c r="E7" s="4">
        <v>7.4314117372232466E-2</v>
      </c>
      <c r="F7" s="4">
        <v>3.1043212854889164E-2</v>
      </c>
    </row>
    <row r="8" spans="1:6" x14ac:dyDescent="0.25">
      <c r="B8" t="s">
        <v>8</v>
      </c>
      <c r="C8" s="17">
        <v>42383</v>
      </c>
      <c r="D8" s="9">
        <v>42383</v>
      </c>
      <c r="E8" s="4">
        <v>0.11000856542165235</v>
      </c>
      <c r="F8" s="4">
        <v>4.5953843401514698E-2</v>
      </c>
    </row>
    <row r="9" spans="1:6" x14ac:dyDescent="0.25">
      <c r="B9" t="s">
        <v>9</v>
      </c>
      <c r="C9" s="17">
        <v>64323</v>
      </c>
      <c r="D9" s="9">
        <v>64323</v>
      </c>
      <c r="E9" s="4">
        <v>0.1669556414981701</v>
      </c>
      <c r="F9" s="4">
        <v>6.9742327563306755E-2</v>
      </c>
    </row>
    <row r="10" spans="1:6" x14ac:dyDescent="0.25">
      <c r="B10" t="s">
        <v>10</v>
      </c>
      <c r="C10" s="17">
        <v>16442</v>
      </c>
      <c r="D10" s="9">
        <v>16442</v>
      </c>
      <c r="E10" s="4">
        <v>4.2676564487242712E-2</v>
      </c>
      <c r="F10" s="4">
        <v>1.7827267848139695E-2</v>
      </c>
    </row>
    <row r="11" spans="1:6" x14ac:dyDescent="0.25">
      <c r="B11" t="s">
        <v>11</v>
      </c>
      <c r="C11" s="17">
        <v>19111</v>
      </c>
      <c r="D11" s="9">
        <v>19111</v>
      </c>
      <c r="E11" s="4">
        <v>4.9604173696368783E-2</v>
      </c>
      <c r="F11" s="4">
        <v>2.0721135862169913E-2</v>
      </c>
    </row>
    <row r="12" spans="1:6" x14ac:dyDescent="0.25">
      <c r="B12" t="s">
        <v>12</v>
      </c>
      <c r="C12" s="17">
        <v>12664</v>
      </c>
      <c r="D12" s="9">
        <v>12664</v>
      </c>
      <c r="E12" s="4">
        <v>3.2870454486464036E-2</v>
      </c>
      <c r="F12" s="4">
        <v>1.3730964604600481E-2</v>
      </c>
    </row>
    <row r="13" spans="1:6" x14ac:dyDescent="0.25">
      <c r="B13" t="s">
        <v>37</v>
      </c>
      <c r="C13" s="17">
        <v>9198</v>
      </c>
      <c r="D13" s="9">
        <v>9198</v>
      </c>
      <c r="E13" s="4">
        <v>2.3874166169180054E-2</v>
      </c>
      <c r="F13" s="4">
        <v>9.9729479179655103E-3</v>
      </c>
    </row>
    <row r="14" spans="1:6" x14ac:dyDescent="0.25">
      <c r="B14" t="s">
        <v>13</v>
      </c>
      <c r="C14" s="17">
        <v>40273</v>
      </c>
      <c r="D14" s="9">
        <v>40273</v>
      </c>
      <c r="E14" s="4">
        <v>0.1045318867287876</v>
      </c>
      <c r="F14" s="4">
        <v>4.3666072135271253E-2</v>
      </c>
    </row>
    <row r="15" spans="1:6" x14ac:dyDescent="0.25">
      <c r="B15" t="s">
        <v>38</v>
      </c>
      <c r="C15" s="17">
        <v>21131</v>
      </c>
      <c r="D15" s="9">
        <v>21131</v>
      </c>
      <c r="E15" s="4">
        <v>5.4847249980533135E-2</v>
      </c>
      <c r="F15" s="4">
        <v>2.2911324467767905E-2</v>
      </c>
    </row>
    <row r="16" spans="1:6" x14ac:dyDescent="0.25">
      <c r="A16" t="s">
        <v>39</v>
      </c>
      <c r="C16" s="17">
        <v>385270</v>
      </c>
      <c r="D16" s="9">
        <v>385270</v>
      </c>
      <c r="E16" s="4">
        <v>0.41772968518749426</v>
      </c>
      <c r="F16" s="4">
        <v>0.41772968518749426</v>
      </c>
    </row>
    <row r="17" spans="1:6" x14ac:dyDescent="0.25">
      <c r="A17" t="s">
        <v>2</v>
      </c>
      <c r="B17" t="s">
        <v>4</v>
      </c>
      <c r="C17" s="17">
        <v>40602</v>
      </c>
      <c r="D17" s="9">
        <v>40602</v>
      </c>
      <c r="E17" s="4">
        <v>7.5605418742144215E-2</v>
      </c>
      <c r="F17" s="4">
        <v>4.402279097251964E-2</v>
      </c>
    </row>
    <row r="18" spans="1:6" x14ac:dyDescent="0.25">
      <c r="B18" t="s">
        <v>5</v>
      </c>
      <c r="C18" s="17">
        <v>58523</v>
      </c>
      <c r="D18" s="9">
        <v>58523</v>
      </c>
      <c r="E18" s="4">
        <v>0.10897630464131093</v>
      </c>
      <c r="F18" s="4">
        <v>6.345366721059964E-2</v>
      </c>
    </row>
    <row r="19" spans="1:6" x14ac:dyDescent="0.25">
      <c r="B19" t="s">
        <v>6</v>
      </c>
      <c r="C19" s="17">
        <v>65712</v>
      </c>
      <c r="D19" s="9">
        <v>65712</v>
      </c>
      <c r="E19" s="4">
        <v>0.12236301848144872</v>
      </c>
      <c r="F19" s="4">
        <v>7.124835329260161E-2</v>
      </c>
    </row>
    <row r="20" spans="1:6" x14ac:dyDescent="0.25">
      <c r="B20" t="s">
        <v>7</v>
      </c>
      <c r="C20" s="17">
        <v>69169</v>
      </c>
      <c r="D20" s="9">
        <v>69169</v>
      </c>
      <c r="E20" s="4">
        <v>0.12880033517992645</v>
      </c>
      <c r="F20" s="4">
        <v>7.4996611713172026E-2</v>
      </c>
    </row>
    <row r="21" spans="1:6" x14ac:dyDescent="0.25">
      <c r="B21" t="s">
        <v>8</v>
      </c>
      <c r="C21" s="17">
        <v>67572</v>
      </c>
      <c r="D21" s="9">
        <v>67572</v>
      </c>
      <c r="E21" s="4">
        <v>0.12582654438806387</v>
      </c>
      <c r="F21" s="4">
        <v>7.3265061612607679E-2</v>
      </c>
    </row>
    <row r="22" spans="1:6" x14ac:dyDescent="0.25">
      <c r="B22" t="s">
        <v>9</v>
      </c>
      <c r="C22" s="17">
        <v>64031</v>
      </c>
      <c r="D22" s="9">
        <v>64031</v>
      </c>
      <c r="E22" s="4">
        <v>0.11923281039057772</v>
      </c>
      <c r="F22" s="4">
        <v>6.9425726042101496E-2</v>
      </c>
    </row>
    <row r="23" spans="1:6" x14ac:dyDescent="0.25">
      <c r="B23" t="s">
        <v>10</v>
      </c>
      <c r="C23" s="17">
        <v>81432</v>
      </c>
      <c r="D23" s="9">
        <v>81432</v>
      </c>
      <c r="E23" s="4">
        <v>0.15163539872445417</v>
      </c>
      <c r="F23" s="4">
        <v>8.8292791352007766E-2</v>
      </c>
    </row>
    <row r="24" spans="1:6" x14ac:dyDescent="0.25">
      <c r="B24" t="s">
        <v>11</v>
      </c>
      <c r="C24" s="17">
        <v>71224</v>
      </c>
      <c r="D24" s="9">
        <v>71224</v>
      </c>
      <c r="E24" s="4">
        <v>0.13262697267352544</v>
      </c>
      <c r="F24" s="4">
        <v>7.7224749131243262E-2</v>
      </c>
    </row>
    <row r="25" spans="1:6" x14ac:dyDescent="0.25">
      <c r="B25" t="s">
        <v>12</v>
      </c>
      <c r="C25" s="17">
        <v>18760</v>
      </c>
      <c r="D25" s="9">
        <v>18760</v>
      </c>
      <c r="E25" s="4">
        <v>3.4933196778548482E-2</v>
      </c>
      <c r="F25" s="4">
        <v>2.0340563485652639E-2</v>
      </c>
    </row>
    <row r="26" spans="1:6" x14ac:dyDescent="0.25">
      <c r="A26" t="s">
        <v>40</v>
      </c>
      <c r="C26" s="17">
        <v>537025</v>
      </c>
      <c r="D26" s="9">
        <v>537025</v>
      </c>
      <c r="E26" s="4">
        <v>0.5822703148125058</v>
      </c>
      <c r="F26" s="4">
        <v>0.5822703148125058</v>
      </c>
    </row>
    <row r="27" spans="1:6" x14ac:dyDescent="0.25">
      <c r="A27" t="s">
        <v>3</v>
      </c>
      <c r="C27" s="17">
        <v>922295</v>
      </c>
      <c r="D27" s="9">
        <v>922295</v>
      </c>
      <c r="E27" s="4">
        <v>1</v>
      </c>
      <c r="F27" s="4">
        <v>1</v>
      </c>
    </row>
  </sheetData>
  <conditionalFormatting pivot="1" sqref="D4:D15 D17:D25">
    <cfRule type="dataBar" priority="1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{0F1932BD-D149-402B-AAE8-4323C8410E91}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0F1932BD-D149-402B-AAE8-4323C8410E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D4:D15 D17:D25</xm:sqref>
        </x14:conditionalFormatting>
      </x14:conditionalFormattings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FCFB-C552-431B-B247-60D926EF6C7F}">
  <sheetPr codeName="Feuil6"/>
  <dimension ref="A1:K24"/>
  <sheetViews>
    <sheetView workbookViewId="0">
      <selection activeCell="K29" sqref="K29"/>
    </sheetView>
  </sheetViews>
  <sheetFormatPr baseColWidth="10" defaultColWidth="11.42578125" defaultRowHeight="15" x14ac:dyDescent="0.25"/>
  <cols>
    <col min="1" max="1" width="21" bestFit="1" customWidth="1"/>
    <col min="2" max="2" width="23.85546875" bestFit="1" customWidth="1"/>
    <col min="3" max="5" width="10.5703125" bestFit="1" customWidth="1"/>
    <col min="6" max="6" width="9.85546875" bestFit="1" customWidth="1"/>
    <col min="7" max="9" width="10.5703125" bestFit="1" customWidth="1"/>
    <col min="10" max="10" width="9.85546875" bestFit="1" customWidth="1"/>
    <col min="11" max="11" width="12.5703125" bestFit="1" customWidth="1"/>
    <col min="12" max="81" width="10.140625" bestFit="1" customWidth="1"/>
    <col min="82" max="82" width="12.5703125" bestFit="1" customWidth="1"/>
    <col min="83" max="87" width="10.140625" bestFit="1" customWidth="1"/>
    <col min="88" max="88" width="9.7109375" bestFit="1" customWidth="1"/>
    <col min="89" max="90" width="10.140625" bestFit="1" customWidth="1"/>
    <col min="91" max="91" width="8.5703125" bestFit="1" customWidth="1"/>
    <col min="92" max="92" width="12.5703125" bestFit="1" customWidth="1"/>
    <col min="93" max="93" width="15.42578125" bestFit="1" customWidth="1"/>
    <col min="94" max="94" width="12.42578125" bestFit="1" customWidth="1"/>
    <col min="95" max="98" width="10.140625" bestFit="1" customWidth="1"/>
    <col min="99" max="99" width="8.7109375" bestFit="1" customWidth="1"/>
    <col min="100" max="104" width="10.140625" bestFit="1" customWidth="1"/>
    <col min="105" max="105" width="9.85546875" bestFit="1" customWidth="1"/>
    <col min="106" max="106" width="10.140625" bestFit="1" customWidth="1"/>
    <col min="107" max="107" width="9.7109375" bestFit="1" customWidth="1"/>
    <col min="108" max="108" width="15.42578125" bestFit="1" customWidth="1"/>
    <col min="109" max="109" width="9.85546875" bestFit="1" customWidth="1"/>
    <col min="110" max="110" width="12.5703125" bestFit="1" customWidth="1"/>
  </cols>
  <sheetData>
    <row r="1" spans="1:11" x14ac:dyDescent="0.25">
      <c r="A1" s="1" t="s">
        <v>15</v>
      </c>
      <c r="B1" s="1" t="s">
        <v>53</v>
      </c>
    </row>
    <row r="2" spans="1:11" x14ac:dyDescent="0.25">
      <c r="B2" t="s">
        <v>1</v>
      </c>
      <c r="F2" t="s">
        <v>39</v>
      </c>
      <c r="G2" t="s">
        <v>2</v>
      </c>
      <c r="J2" t="s">
        <v>40</v>
      </c>
      <c r="K2" t="s">
        <v>3</v>
      </c>
    </row>
    <row r="3" spans="1:11" x14ac:dyDescent="0.25">
      <c r="A3" s="1" t="s">
        <v>14</v>
      </c>
      <c r="B3" t="s">
        <v>54</v>
      </c>
      <c r="C3" t="s">
        <v>55</v>
      </c>
      <c r="D3" t="s">
        <v>56</v>
      </c>
      <c r="E3" t="s">
        <v>57</v>
      </c>
      <c r="G3" t="s">
        <v>54</v>
      </c>
      <c r="H3" t="s">
        <v>55</v>
      </c>
      <c r="I3" t="s">
        <v>56</v>
      </c>
    </row>
    <row r="4" spans="1:11" x14ac:dyDescent="0.25">
      <c r="A4" s="2" t="s">
        <v>58</v>
      </c>
      <c r="B4" s="17">
        <v>4512</v>
      </c>
      <c r="C4" s="17">
        <v>4324</v>
      </c>
      <c r="D4" s="17">
        <v>564</v>
      </c>
      <c r="E4" s="17"/>
      <c r="F4" s="17">
        <v>9400</v>
      </c>
      <c r="G4" s="17">
        <v>3196</v>
      </c>
      <c r="H4" s="17">
        <v>9024</v>
      </c>
      <c r="I4" s="17">
        <v>2632</v>
      </c>
      <c r="J4" s="17">
        <v>14852</v>
      </c>
      <c r="K4" s="17">
        <v>24252</v>
      </c>
    </row>
    <row r="5" spans="1:11" x14ac:dyDescent="0.25">
      <c r="A5" s="2" t="s">
        <v>59</v>
      </c>
      <c r="B5" s="17">
        <v>6494</v>
      </c>
      <c r="C5" s="17">
        <v>4011</v>
      </c>
      <c r="D5" s="17">
        <v>573</v>
      </c>
      <c r="E5" s="17"/>
      <c r="F5" s="17">
        <v>11078</v>
      </c>
      <c r="G5" s="17">
        <v>1910</v>
      </c>
      <c r="H5" s="17">
        <v>7831</v>
      </c>
      <c r="I5" s="17">
        <v>2865</v>
      </c>
      <c r="J5" s="17">
        <v>12606</v>
      </c>
      <c r="K5" s="17">
        <v>23684</v>
      </c>
    </row>
    <row r="6" spans="1:11" x14ac:dyDescent="0.25">
      <c r="A6" s="2" t="s">
        <v>60</v>
      </c>
      <c r="B6" s="17">
        <v>4752</v>
      </c>
      <c r="C6" s="17">
        <v>2880</v>
      </c>
      <c r="D6" s="17">
        <v>720</v>
      </c>
      <c r="E6" s="17"/>
      <c r="F6" s="17">
        <v>8352</v>
      </c>
      <c r="G6" s="17">
        <v>5472</v>
      </c>
      <c r="H6" s="17">
        <v>3168</v>
      </c>
      <c r="I6" s="17">
        <v>5184</v>
      </c>
      <c r="J6" s="17">
        <v>13824</v>
      </c>
      <c r="K6" s="17">
        <v>22176</v>
      </c>
    </row>
    <row r="7" spans="1:11" x14ac:dyDescent="0.25">
      <c r="A7" s="2" t="s">
        <v>61</v>
      </c>
      <c r="B7" s="17">
        <v>4671</v>
      </c>
      <c r="C7" s="17">
        <v>3806</v>
      </c>
      <c r="D7" s="17">
        <v>2076</v>
      </c>
      <c r="E7" s="17"/>
      <c r="F7" s="17">
        <v>10553</v>
      </c>
      <c r="G7" s="17">
        <v>4844</v>
      </c>
      <c r="H7" s="17">
        <v>1730</v>
      </c>
      <c r="I7" s="17">
        <v>4152</v>
      </c>
      <c r="J7" s="17">
        <v>10726</v>
      </c>
      <c r="K7" s="17">
        <v>21279</v>
      </c>
    </row>
    <row r="8" spans="1:11" x14ac:dyDescent="0.25">
      <c r="A8" s="2" t="s">
        <v>62</v>
      </c>
      <c r="B8" s="17">
        <v>1944</v>
      </c>
      <c r="C8" s="17">
        <v>2268</v>
      </c>
      <c r="D8" s="17"/>
      <c r="E8" s="17">
        <v>7128</v>
      </c>
      <c r="F8" s="17">
        <v>11340</v>
      </c>
      <c r="G8" s="17">
        <v>2592</v>
      </c>
      <c r="H8" s="17">
        <v>3078</v>
      </c>
      <c r="I8" s="17">
        <v>4860</v>
      </c>
      <c r="J8" s="17">
        <v>10530</v>
      </c>
      <c r="K8" s="17">
        <v>21870</v>
      </c>
    </row>
    <row r="9" spans="1:11" x14ac:dyDescent="0.25">
      <c r="A9" s="2" t="s">
        <v>63</v>
      </c>
      <c r="B9" s="17">
        <v>1728</v>
      </c>
      <c r="C9" s="17">
        <v>2880</v>
      </c>
      <c r="D9" s="17"/>
      <c r="E9" s="17"/>
      <c r="F9" s="17">
        <v>4608</v>
      </c>
      <c r="G9" s="17">
        <v>2736</v>
      </c>
      <c r="H9" s="17">
        <v>4608</v>
      </c>
      <c r="I9" s="17"/>
      <c r="J9" s="17">
        <v>7344</v>
      </c>
      <c r="K9" s="17">
        <v>11952</v>
      </c>
    </row>
    <row r="10" spans="1:11" x14ac:dyDescent="0.25">
      <c r="A10" s="2" t="s">
        <v>64</v>
      </c>
      <c r="B10" s="17">
        <v>819</v>
      </c>
      <c r="C10" s="17">
        <v>2366</v>
      </c>
      <c r="D10" s="17"/>
      <c r="E10" s="17"/>
      <c r="F10" s="17">
        <v>3185</v>
      </c>
      <c r="G10" s="17">
        <v>910</v>
      </c>
      <c r="H10" s="17">
        <v>1729</v>
      </c>
      <c r="I10" s="17"/>
      <c r="J10" s="17">
        <v>2639</v>
      </c>
      <c r="K10" s="17">
        <v>5824</v>
      </c>
    </row>
    <row r="11" spans="1:11" x14ac:dyDescent="0.25">
      <c r="A11" s="2" t="s">
        <v>65</v>
      </c>
      <c r="B11" s="17">
        <v>2646</v>
      </c>
      <c r="C11" s="17">
        <v>1890</v>
      </c>
      <c r="D11" s="17"/>
      <c r="E11" s="17"/>
      <c r="F11" s="17">
        <v>4536</v>
      </c>
      <c r="G11" s="17">
        <v>1512</v>
      </c>
      <c r="H11" s="17">
        <v>4914</v>
      </c>
      <c r="I11" s="17"/>
      <c r="J11" s="17">
        <v>6426</v>
      </c>
      <c r="K11" s="17">
        <v>10962</v>
      </c>
    </row>
    <row r="12" spans="1:11" x14ac:dyDescent="0.25">
      <c r="A12" s="2" t="s">
        <v>66</v>
      </c>
      <c r="B12" s="17">
        <v>1886</v>
      </c>
      <c r="C12" s="17">
        <v>1640</v>
      </c>
      <c r="D12" s="17"/>
      <c r="E12" s="17"/>
      <c r="F12" s="17">
        <v>3526</v>
      </c>
      <c r="G12" s="17">
        <v>1722</v>
      </c>
      <c r="H12" s="17">
        <v>2296</v>
      </c>
      <c r="I12" s="17"/>
      <c r="J12" s="17">
        <v>4018</v>
      </c>
      <c r="K12" s="17">
        <v>7544</v>
      </c>
    </row>
    <row r="13" spans="1:11" x14ac:dyDescent="0.25">
      <c r="A13" s="2" t="s">
        <v>67</v>
      </c>
      <c r="B13" s="17">
        <v>4107</v>
      </c>
      <c r="C13" s="17">
        <v>1887</v>
      </c>
      <c r="D13" s="17"/>
      <c r="E13" s="17"/>
      <c r="F13" s="17">
        <v>5994</v>
      </c>
      <c r="G13" s="17">
        <v>1443</v>
      </c>
      <c r="H13" s="17">
        <v>1887</v>
      </c>
      <c r="I13" s="17"/>
      <c r="J13" s="17">
        <v>3330</v>
      </c>
      <c r="K13" s="17">
        <v>9324</v>
      </c>
    </row>
    <row r="14" spans="1:11" x14ac:dyDescent="0.25">
      <c r="A14" s="2" t="s">
        <v>68</v>
      </c>
      <c r="B14" s="17">
        <v>2550</v>
      </c>
      <c r="C14" s="17">
        <v>510</v>
      </c>
      <c r="D14" s="17">
        <v>510</v>
      </c>
      <c r="E14" s="17"/>
      <c r="F14" s="17">
        <v>3570</v>
      </c>
      <c r="G14" s="17">
        <v>510</v>
      </c>
      <c r="H14" s="17">
        <v>3570</v>
      </c>
      <c r="I14" s="17"/>
      <c r="J14" s="17">
        <v>4080</v>
      </c>
      <c r="K14" s="17">
        <v>7650</v>
      </c>
    </row>
    <row r="15" spans="1:11" x14ac:dyDescent="0.25">
      <c r="A15" s="2" t="s">
        <v>69</v>
      </c>
      <c r="B15" s="17">
        <v>1275</v>
      </c>
      <c r="C15" s="17">
        <v>2040</v>
      </c>
      <c r="D15" s="17">
        <v>765</v>
      </c>
      <c r="E15" s="17"/>
      <c r="F15" s="17">
        <v>4080</v>
      </c>
      <c r="G15" s="17">
        <v>1615</v>
      </c>
      <c r="H15" s="17">
        <v>2465</v>
      </c>
      <c r="I15" s="17">
        <v>680</v>
      </c>
      <c r="J15" s="17">
        <v>4760</v>
      </c>
      <c r="K15" s="17">
        <v>8840</v>
      </c>
    </row>
    <row r="16" spans="1:11" x14ac:dyDescent="0.25">
      <c r="A16" s="2" t="s">
        <v>70</v>
      </c>
      <c r="B16" s="17"/>
      <c r="C16" s="17">
        <v>2014</v>
      </c>
      <c r="D16" s="17">
        <v>636</v>
      </c>
      <c r="E16" s="17">
        <v>2226</v>
      </c>
      <c r="F16" s="17">
        <v>4876</v>
      </c>
      <c r="G16" s="17">
        <v>1696</v>
      </c>
      <c r="H16" s="17">
        <v>1484</v>
      </c>
      <c r="I16" s="17">
        <v>5088</v>
      </c>
      <c r="J16" s="17">
        <v>8268</v>
      </c>
      <c r="K16" s="17">
        <v>13144</v>
      </c>
    </row>
    <row r="17" spans="1:11" x14ac:dyDescent="0.25">
      <c r="A17" s="2" t="s">
        <v>71</v>
      </c>
      <c r="B17" s="17"/>
      <c r="C17" s="17">
        <v>850</v>
      </c>
      <c r="D17" s="17">
        <v>850</v>
      </c>
      <c r="E17" s="17">
        <v>3400</v>
      </c>
      <c r="F17" s="17">
        <v>5100</v>
      </c>
      <c r="G17" s="17">
        <v>4420</v>
      </c>
      <c r="H17" s="17">
        <v>1360</v>
      </c>
      <c r="I17" s="17">
        <v>5270</v>
      </c>
      <c r="J17" s="17">
        <v>11050</v>
      </c>
      <c r="K17" s="17">
        <v>16150</v>
      </c>
    </row>
    <row r="18" spans="1:11" x14ac:dyDescent="0.25">
      <c r="A18" s="2" t="s">
        <v>72</v>
      </c>
      <c r="B18" s="17"/>
      <c r="C18" s="17">
        <v>1068</v>
      </c>
      <c r="D18" s="17">
        <v>712</v>
      </c>
      <c r="E18" s="17">
        <v>1958</v>
      </c>
      <c r="F18" s="17">
        <v>3738</v>
      </c>
      <c r="G18" s="17">
        <v>1869</v>
      </c>
      <c r="H18" s="17">
        <v>1424</v>
      </c>
      <c r="I18" s="17">
        <v>2848</v>
      </c>
      <c r="J18" s="17">
        <v>6141</v>
      </c>
      <c r="K18" s="17">
        <v>9879</v>
      </c>
    </row>
    <row r="19" spans="1:11" x14ac:dyDescent="0.25">
      <c r="A19" s="2" t="s">
        <v>73</v>
      </c>
      <c r="B19" s="17"/>
      <c r="C19" s="17">
        <v>540</v>
      </c>
      <c r="D19" s="17">
        <v>756</v>
      </c>
      <c r="E19" s="17">
        <v>1512</v>
      </c>
      <c r="F19" s="17">
        <v>2808</v>
      </c>
      <c r="G19" s="17">
        <v>1404</v>
      </c>
      <c r="H19" s="17">
        <v>1512</v>
      </c>
      <c r="I19" s="17">
        <v>3672</v>
      </c>
      <c r="J19" s="17">
        <v>6588</v>
      </c>
      <c r="K19" s="17">
        <v>9396</v>
      </c>
    </row>
    <row r="20" spans="1:11" x14ac:dyDescent="0.25">
      <c r="A20" s="2" t="s">
        <v>74</v>
      </c>
      <c r="B20" s="17"/>
      <c r="C20" s="17">
        <v>1078</v>
      </c>
      <c r="D20" s="17">
        <v>3080</v>
      </c>
      <c r="E20" s="17">
        <v>770</v>
      </c>
      <c r="F20" s="17">
        <v>4928</v>
      </c>
      <c r="G20" s="17">
        <v>770</v>
      </c>
      <c r="H20" s="17">
        <v>770</v>
      </c>
      <c r="I20" s="17">
        <v>5390</v>
      </c>
      <c r="J20" s="17">
        <v>6930</v>
      </c>
      <c r="K20" s="17">
        <v>11858</v>
      </c>
    </row>
    <row r="21" spans="1:11" x14ac:dyDescent="0.25">
      <c r="A21" s="2" t="s">
        <v>75</v>
      </c>
      <c r="B21" s="17"/>
      <c r="C21" s="17">
        <v>378</v>
      </c>
      <c r="D21" s="17">
        <v>1176</v>
      </c>
      <c r="E21" s="17">
        <v>504</v>
      </c>
      <c r="F21" s="17">
        <v>2058</v>
      </c>
      <c r="G21" s="17">
        <v>630</v>
      </c>
      <c r="H21" s="17">
        <v>672</v>
      </c>
      <c r="I21" s="17">
        <v>1218</v>
      </c>
      <c r="J21" s="17">
        <v>2520</v>
      </c>
      <c r="K21" s="17">
        <v>4578</v>
      </c>
    </row>
    <row r="22" spans="1:11" x14ac:dyDescent="0.25">
      <c r="A22" s="2" t="s">
        <v>76</v>
      </c>
      <c r="B22" s="17"/>
      <c r="C22" s="17">
        <v>2128</v>
      </c>
      <c r="D22" s="17">
        <v>1216</v>
      </c>
      <c r="E22" s="17">
        <v>1064</v>
      </c>
      <c r="F22" s="17">
        <v>4408</v>
      </c>
      <c r="G22" s="17">
        <v>4256</v>
      </c>
      <c r="H22" s="17">
        <v>1216</v>
      </c>
      <c r="I22" s="17">
        <v>2736</v>
      </c>
      <c r="J22" s="17">
        <v>8208</v>
      </c>
      <c r="K22" s="17">
        <v>12616</v>
      </c>
    </row>
    <row r="23" spans="1:11" x14ac:dyDescent="0.25">
      <c r="A23" s="2" t="s">
        <v>77</v>
      </c>
      <c r="B23" s="17"/>
      <c r="C23" s="17">
        <v>960</v>
      </c>
      <c r="D23" s="17">
        <v>120</v>
      </c>
      <c r="E23" s="17">
        <v>1560</v>
      </c>
      <c r="F23" s="17">
        <v>2640</v>
      </c>
      <c r="G23" s="17">
        <v>3480</v>
      </c>
      <c r="H23" s="17">
        <v>2520</v>
      </c>
      <c r="I23" s="17">
        <v>2280</v>
      </c>
      <c r="J23" s="17">
        <v>8280</v>
      </c>
      <c r="K23" s="17">
        <v>10920</v>
      </c>
    </row>
    <row r="24" spans="1:11" x14ac:dyDescent="0.25">
      <c r="A24" s="2" t="s">
        <v>3</v>
      </c>
      <c r="B24" s="17">
        <v>37384</v>
      </c>
      <c r="C24" s="17">
        <v>39518</v>
      </c>
      <c r="D24" s="17">
        <v>13754</v>
      </c>
      <c r="E24" s="17">
        <v>20122</v>
      </c>
      <c r="F24" s="17">
        <v>110778</v>
      </c>
      <c r="G24" s="17">
        <v>46987</v>
      </c>
      <c r="H24" s="17">
        <v>57258</v>
      </c>
      <c r="I24" s="17">
        <v>48875</v>
      </c>
      <c r="J24" s="17">
        <v>153120</v>
      </c>
      <c r="K24" s="17">
        <v>263898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2300-E896-40B5-90A6-14FFBCE6BA2C}">
  <dimension ref="A1:F8"/>
  <sheetViews>
    <sheetView workbookViewId="0">
      <selection activeCell="A5" sqref="A5"/>
    </sheetView>
  </sheetViews>
  <sheetFormatPr baseColWidth="10" defaultColWidth="11.42578125" defaultRowHeight="15" x14ac:dyDescent="0.25"/>
  <cols>
    <col min="1" max="1" width="21" bestFit="1" customWidth="1"/>
    <col min="2" max="2" width="23.85546875" bestFit="1" customWidth="1"/>
    <col min="3" max="3" width="8.28515625" bestFit="1" customWidth="1"/>
    <col min="4" max="4" width="8.42578125" bestFit="1" customWidth="1"/>
    <col min="5" max="5" width="10.5703125" bestFit="1" customWidth="1"/>
    <col min="6" max="6" width="12.5703125" bestFit="1" customWidth="1"/>
    <col min="7" max="9" width="10.5703125" bestFit="1" customWidth="1"/>
    <col min="10" max="10" width="9.85546875" bestFit="1" customWidth="1"/>
    <col min="11" max="11" width="12.5703125" bestFit="1" customWidth="1"/>
    <col min="12" max="81" width="10.140625" bestFit="1" customWidth="1"/>
    <col min="82" max="82" width="12.5703125" bestFit="1" customWidth="1"/>
    <col min="83" max="87" width="10.140625" bestFit="1" customWidth="1"/>
    <col min="88" max="88" width="9.7109375" bestFit="1" customWidth="1"/>
    <col min="89" max="90" width="10.140625" bestFit="1" customWidth="1"/>
    <col min="91" max="91" width="8.5703125" bestFit="1" customWidth="1"/>
    <col min="92" max="92" width="12.5703125" bestFit="1" customWidth="1"/>
    <col min="93" max="93" width="15.42578125" bestFit="1" customWidth="1"/>
    <col min="94" max="94" width="12.42578125" bestFit="1" customWidth="1"/>
    <col min="95" max="98" width="10.140625" bestFit="1" customWidth="1"/>
    <col min="99" max="99" width="8.7109375" bestFit="1" customWidth="1"/>
    <col min="100" max="104" width="10.140625" bestFit="1" customWidth="1"/>
    <col min="105" max="105" width="9.85546875" bestFit="1" customWidth="1"/>
    <col min="106" max="106" width="10.140625" bestFit="1" customWidth="1"/>
    <col min="107" max="107" width="9.7109375" bestFit="1" customWidth="1"/>
    <col min="108" max="108" width="15.42578125" bestFit="1" customWidth="1"/>
    <col min="109" max="109" width="9.85546875" bestFit="1" customWidth="1"/>
    <col min="110" max="110" width="12.5703125" bestFit="1" customWidth="1"/>
  </cols>
  <sheetData>
    <row r="1" spans="1:6" x14ac:dyDescent="0.25">
      <c r="A1" s="1" t="s">
        <v>15</v>
      </c>
      <c r="B1" s="1" t="s">
        <v>53</v>
      </c>
    </row>
    <row r="2" spans="1:6" x14ac:dyDescent="0.25">
      <c r="A2" s="1" t="s">
        <v>14</v>
      </c>
      <c r="B2" t="s">
        <v>78</v>
      </c>
      <c r="C2" t="s">
        <v>79</v>
      </c>
      <c r="D2" t="s">
        <v>80</v>
      </c>
      <c r="E2" t="s">
        <v>81</v>
      </c>
      <c r="F2" t="s">
        <v>3</v>
      </c>
    </row>
    <row r="3" spans="1:6" x14ac:dyDescent="0.25">
      <c r="A3" s="2" t="s">
        <v>82</v>
      </c>
      <c r="B3" s="17">
        <v>12776</v>
      </c>
      <c r="C3" s="17">
        <v>7340</v>
      </c>
      <c r="D3" s="17">
        <v>9910</v>
      </c>
      <c r="E3" s="17">
        <v>7454</v>
      </c>
      <c r="F3" s="17">
        <v>37480</v>
      </c>
    </row>
    <row r="4" spans="1:6" x14ac:dyDescent="0.25">
      <c r="A4" s="2" t="s">
        <v>83</v>
      </c>
      <c r="B4" s="17">
        <v>9323</v>
      </c>
      <c r="C4" s="17">
        <v>10582</v>
      </c>
      <c r="D4" s="17">
        <v>21274</v>
      </c>
      <c r="E4" s="17">
        <v>19875</v>
      </c>
      <c r="F4" s="17">
        <v>61054</v>
      </c>
    </row>
    <row r="5" spans="1:6" x14ac:dyDescent="0.25">
      <c r="A5" s="2" t="s">
        <v>84</v>
      </c>
      <c r="B5" s="17">
        <v>10967</v>
      </c>
      <c r="C5" s="17">
        <v>12897</v>
      </c>
      <c r="D5" s="17">
        <v>10854</v>
      </c>
      <c r="E5" s="17">
        <v>9122</v>
      </c>
      <c r="F5" s="17">
        <v>43840</v>
      </c>
    </row>
    <row r="6" spans="1:6" x14ac:dyDescent="0.25">
      <c r="A6" s="2" t="s">
        <v>85</v>
      </c>
      <c r="B6" s="17">
        <v>14171</v>
      </c>
      <c r="C6" s="17">
        <v>14662</v>
      </c>
      <c r="D6" s="17">
        <v>8644</v>
      </c>
      <c r="E6" s="17">
        <v>13401</v>
      </c>
      <c r="F6" s="17">
        <v>50878</v>
      </c>
    </row>
    <row r="7" spans="1:6" x14ac:dyDescent="0.25">
      <c r="A7" s="2" t="s">
        <v>86</v>
      </c>
      <c r="B7" s="17">
        <v>14415</v>
      </c>
      <c r="C7" s="17">
        <v>23518</v>
      </c>
      <c r="D7" s="17">
        <v>22098</v>
      </c>
      <c r="E7" s="17">
        <v>10615</v>
      </c>
      <c r="F7" s="17">
        <v>70646</v>
      </c>
    </row>
    <row r="8" spans="1:6" x14ac:dyDescent="0.25">
      <c r="A8" s="2" t="s">
        <v>3</v>
      </c>
      <c r="B8" s="17">
        <v>61652</v>
      </c>
      <c r="C8" s="17">
        <v>68999</v>
      </c>
      <c r="D8" s="17">
        <v>72780</v>
      </c>
      <c r="E8" s="17">
        <v>60467</v>
      </c>
      <c r="F8" s="17">
        <v>263898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853B-3C1B-4837-B441-1B8BED16BAF3}">
  <dimension ref="A1:I27"/>
  <sheetViews>
    <sheetView tabSelected="1" workbookViewId="0">
      <selection activeCell="G3" sqref="G3"/>
    </sheetView>
  </sheetViews>
  <sheetFormatPr baseColWidth="10" defaultColWidth="11.42578125" defaultRowHeight="15" x14ac:dyDescent="0.25"/>
  <cols>
    <col min="1" max="1" width="21" bestFit="1" customWidth="1"/>
    <col min="2" max="2" width="16.7109375" bestFit="1" customWidth="1"/>
    <col min="3" max="3" width="13.7109375" customWidth="1"/>
    <col min="4" max="4" width="12.5703125" bestFit="1" customWidth="1"/>
    <col min="5" max="5" width="11.7109375" bestFit="1" customWidth="1"/>
    <col min="6" max="6" width="21" bestFit="1" customWidth="1"/>
    <col min="7" max="7" width="14.140625" bestFit="1" customWidth="1"/>
    <col min="8" max="8" width="5.140625" bestFit="1" customWidth="1"/>
    <col min="9" max="9" width="14.140625" bestFit="1" customWidth="1"/>
    <col min="10" max="10" width="21.42578125" bestFit="1" customWidth="1"/>
    <col min="11" max="11" width="15.140625" bestFit="1" customWidth="1"/>
    <col min="12" max="12" width="26.42578125" bestFit="1" customWidth="1"/>
    <col min="13" max="13" width="19" bestFit="1" customWidth="1"/>
  </cols>
  <sheetData>
    <row r="1" spans="1:9" x14ac:dyDescent="0.25">
      <c r="A1" s="1" t="s">
        <v>14</v>
      </c>
      <c r="B1" t="s">
        <v>15</v>
      </c>
      <c r="F1" s="1" t="s">
        <v>14</v>
      </c>
      <c r="G1" t="s">
        <v>103</v>
      </c>
      <c r="H1" t="s">
        <v>100</v>
      </c>
      <c r="I1" t="s">
        <v>99</v>
      </c>
    </row>
    <row r="2" spans="1:9" x14ac:dyDescent="0.25">
      <c r="A2" s="2" t="s">
        <v>78</v>
      </c>
      <c r="B2" s="9">
        <v>61652</v>
      </c>
      <c r="F2" s="2" t="s">
        <v>78</v>
      </c>
      <c r="G2" s="9">
        <v>216150</v>
      </c>
      <c r="H2" s="18">
        <v>8.1000000000000003E-2</v>
      </c>
      <c r="I2" s="9">
        <v>233658.15</v>
      </c>
    </row>
    <row r="3" spans="1:9" x14ac:dyDescent="0.25">
      <c r="A3" s="2" t="s">
        <v>79</v>
      </c>
      <c r="B3" s="9">
        <v>68999</v>
      </c>
      <c r="F3" s="2" t="s">
        <v>79</v>
      </c>
      <c r="G3" s="9">
        <v>241977</v>
      </c>
      <c r="H3" s="18">
        <v>8.1000000000000003E-2</v>
      </c>
      <c r="I3" s="9">
        <v>261577.13699999999</v>
      </c>
    </row>
    <row r="4" spans="1:9" x14ac:dyDescent="0.25">
      <c r="A4" s="2" t="s">
        <v>80</v>
      </c>
      <c r="B4" s="9">
        <v>72780</v>
      </c>
      <c r="F4" s="2" t="s">
        <v>80</v>
      </c>
      <c r="G4" s="9">
        <v>255299</v>
      </c>
      <c r="H4" s="18">
        <v>8.1000000000000003E-2</v>
      </c>
      <c r="I4" s="9">
        <v>275978.21899999998</v>
      </c>
    </row>
    <row r="5" spans="1:9" x14ac:dyDescent="0.25">
      <c r="A5" s="2" t="s">
        <v>81</v>
      </c>
      <c r="B5" s="9">
        <v>60467</v>
      </c>
      <c r="F5" s="2" t="s">
        <v>81</v>
      </c>
      <c r="G5" s="9">
        <v>208869</v>
      </c>
      <c r="H5" s="18">
        <v>8.1000000000000003E-2</v>
      </c>
      <c r="I5" s="9">
        <v>225787.389</v>
      </c>
    </row>
    <row r="6" spans="1:9" x14ac:dyDescent="0.25">
      <c r="A6" s="2" t="s">
        <v>101</v>
      </c>
      <c r="B6" s="9">
        <v>68999</v>
      </c>
      <c r="F6" s="2" t="s">
        <v>101</v>
      </c>
      <c r="G6" s="9">
        <v>241977</v>
      </c>
      <c r="H6" s="18">
        <v>8.1000000000000003E-2</v>
      </c>
      <c r="I6" s="9">
        <v>261577.13699999999</v>
      </c>
    </row>
    <row r="7" spans="1:9" x14ac:dyDescent="0.25">
      <c r="A7" s="2" t="s">
        <v>102</v>
      </c>
      <c r="B7" s="9">
        <v>194899</v>
      </c>
      <c r="F7" s="2" t="s">
        <v>102</v>
      </c>
      <c r="G7" s="9">
        <v>680318</v>
      </c>
      <c r="H7" s="18">
        <v>8.1000000000000003E-2</v>
      </c>
      <c r="I7" s="9">
        <v>735423.75800000003</v>
      </c>
    </row>
    <row r="8" spans="1:9" x14ac:dyDescent="0.25">
      <c r="A8" s="2" t="s">
        <v>3</v>
      </c>
      <c r="B8" s="9">
        <v>527796</v>
      </c>
      <c r="F8" s="2" t="s">
        <v>3</v>
      </c>
      <c r="G8" s="9">
        <v>1844590</v>
      </c>
      <c r="H8" s="18">
        <v>8.1000000000000003E-2</v>
      </c>
      <c r="I8" s="9">
        <v>1994001.79</v>
      </c>
    </row>
    <row r="10" spans="1:9" x14ac:dyDescent="0.25">
      <c r="A10" s="1" t="s">
        <v>97</v>
      </c>
      <c r="B10" s="1" t="s">
        <v>53</v>
      </c>
    </row>
    <row r="11" spans="1:9" x14ac:dyDescent="0.25">
      <c r="A11" s="1" t="s">
        <v>14</v>
      </c>
      <c r="B11" t="s">
        <v>1</v>
      </c>
      <c r="C11" t="s">
        <v>2</v>
      </c>
      <c r="D11" t="s">
        <v>3</v>
      </c>
    </row>
    <row r="12" spans="1:9" x14ac:dyDescent="0.25">
      <c r="A12" s="2" t="s">
        <v>78</v>
      </c>
      <c r="B12" s="9">
        <v>1269.6666666666667</v>
      </c>
      <c r="C12" s="9">
        <v>1841.5263157894738</v>
      </c>
      <c r="D12" s="9">
        <v>1541.3</v>
      </c>
    </row>
    <row r="13" spans="1:9" x14ac:dyDescent="0.25">
      <c r="A13" s="2" t="s">
        <v>79</v>
      </c>
      <c r="B13" s="9">
        <v>1464.590909090909</v>
      </c>
      <c r="C13" s="9">
        <v>1532.4166666666667</v>
      </c>
      <c r="D13" s="9">
        <v>1499.9782608695652</v>
      </c>
    </row>
    <row r="14" spans="1:9" x14ac:dyDescent="0.25">
      <c r="A14" s="2" t="s">
        <v>80</v>
      </c>
      <c r="B14" s="9">
        <v>1705.4705882352941</v>
      </c>
      <c r="C14" s="9">
        <v>1824.4583333333333</v>
      </c>
      <c r="D14" s="9">
        <v>1775.1219512195121</v>
      </c>
    </row>
    <row r="15" spans="1:9" x14ac:dyDescent="0.25">
      <c r="A15" s="2" t="s">
        <v>81</v>
      </c>
      <c r="B15" s="9">
        <v>1090.5238095238096</v>
      </c>
      <c r="C15" s="9">
        <v>2504.4</v>
      </c>
      <c r="D15" s="9">
        <v>1679.6388888888889</v>
      </c>
    </row>
    <row r="16" spans="1:9" x14ac:dyDescent="0.25">
      <c r="A16" s="2" t="s">
        <v>3</v>
      </c>
      <c r="B16" s="9">
        <v>1367.6296296296296</v>
      </c>
      <c r="C16" s="9">
        <v>1867.3170731707316</v>
      </c>
      <c r="D16" s="9">
        <v>1619.0061349693251</v>
      </c>
    </row>
    <row r="20" spans="1:4" x14ac:dyDescent="0.25">
      <c r="A20" s="1" t="s">
        <v>98</v>
      </c>
      <c r="B20" s="1" t="s">
        <v>53</v>
      </c>
    </row>
    <row r="21" spans="1:4" x14ac:dyDescent="0.25">
      <c r="A21" s="1" t="s">
        <v>14</v>
      </c>
      <c r="B21" t="s">
        <v>1</v>
      </c>
      <c r="C21" t="s">
        <v>2</v>
      </c>
      <c r="D21" t="s">
        <v>3</v>
      </c>
    </row>
    <row r="22" spans="1:4" x14ac:dyDescent="0.25">
      <c r="A22" s="2" t="s">
        <v>82</v>
      </c>
      <c r="B22" s="17">
        <v>16</v>
      </c>
      <c r="C22" s="17">
        <v>12</v>
      </c>
      <c r="D22" s="17">
        <v>28</v>
      </c>
    </row>
    <row r="23" spans="1:4" x14ac:dyDescent="0.25">
      <c r="A23" s="2" t="s">
        <v>83</v>
      </c>
      <c r="B23" s="17">
        <v>14</v>
      </c>
      <c r="C23" s="17">
        <v>19</v>
      </c>
      <c r="D23" s="17">
        <v>33</v>
      </c>
    </row>
    <row r="24" spans="1:4" x14ac:dyDescent="0.25">
      <c r="A24" s="2" t="s">
        <v>84</v>
      </c>
      <c r="B24" s="17">
        <v>16</v>
      </c>
      <c r="C24" s="17">
        <v>18</v>
      </c>
      <c r="D24" s="17">
        <v>34</v>
      </c>
    </row>
    <row r="25" spans="1:4" x14ac:dyDescent="0.25">
      <c r="A25" s="2" t="s">
        <v>85</v>
      </c>
      <c r="B25" s="17">
        <v>17</v>
      </c>
      <c r="C25" s="17">
        <v>14</v>
      </c>
      <c r="D25" s="17">
        <v>31</v>
      </c>
    </row>
    <row r="26" spans="1:4" x14ac:dyDescent="0.25">
      <c r="A26" s="2" t="s">
        <v>86</v>
      </c>
      <c r="B26" s="17">
        <v>18</v>
      </c>
      <c r="C26" s="17">
        <v>19</v>
      </c>
      <c r="D26" s="17">
        <v>37</v>
      </c>
    </row>
    <row r="27" spans="1:4" x14ac:dyDescent="0.25">
      <c r="A27" s="2" t="s">
        <v>3</v>
      </c>
      <c r="B27" s="17">
        <v>81</v>
      </c>
      <c r="C27" s="17">
        <v>82</v>
      </c>
      <c r="D27" s="17">
        <v>163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F9DC-538F-482A-BE1F-9741F0109963}">
  <sheetPr codeName="Feuil2"/>
  <dimension ref="A1:I164"/>
  <sheetViews>
    <sheetView workbookViewId="0">
      <selection activeCell="H2" sqref="H2"/>
    </sheetView>
  </sheetViews>
  <sheetFormatPr baseColWidth="10" defaultColWidth="11.42578125" defaultRowHeight="15" x14ac:dyDescent="0.25"/>
  <cols>
    <col min="1" max="1" width="12.7109375" bestFit="1" customWidth="1"/>
    <col min="5" max="7" width="11.7109375" customWidth="1"/>
    <col min="8" max="8" width="14.28515625" style="5" bestFit="1" customWidth="1"/>
    <col min="9" max="9" width="13.28515625" style="5" bestFit="1" customWidth="1"/>
    <col min="16" max="16" width="15.85546875" bestFit="1" customWidth="1"/>
  </cols>
  <sheetData>
    <row r="1" spans="1:9" x14ac:dyDescent="0.25">
      <c r="A1" s="12" t="s">
        <v>87</v>
      </c>
      <c r="B1" s="13" t="s">
        <v>88</v>
      </c>
      <c r="C1" s="13" t="s">
        <v>89</v>
      </c>
      <c r="D1" s="13" t="s">
        <v>90</v>
      </c>
      <c r="E1" s="13" t="s">
        <v>91</v>
      </c>
      <c r="F1" s="13" t="s">
        <v>92</v>
      </c>
      <c r="G1" s="13" t="s">
        <v>93</v>
      </c>
      <c r="H1" s="5" t="s">
        <v>94</v>
      </c>
      <c r="I1" s="5" t="s">
        <v>95</v>
      </c>
    </row>
    <row r="2" spans="1:9" x14ac:dyDescent="0.25">
      <c r="A2" s="7">
        <v>44208</v>
      </c>
      <c r="B2" s="6" t="s">
        <v>63</v>
      </c>
      <c r="C2" s="6" t="s">
        <v>79</v>
      </c>
      <c r="D2" s="6" t="s">
        <v>83</v>
      </c>
      <c r="E2" s="6">
        <v>8</v>
      </c>
      <c r="F2" s="6">
        <v>360</v>
      </c>
      <c r="G2" s="6">
        <f t="shared" ref="G2:G65" si="0">INT(F2*1.4)</f>
        <v>504</v>
      </c>
      <c r="H2" s="5">
        <f>tbl_Ventes[[#This Row],[PV]]*tbl_Ventes[[#This Row],[Qté]]</f>
        <v>4032</v>
      </c>
      <c r="I2" s="5">
        <f>tbl_Ventes[[#This Row],[Qté]]*(tbl_Ventes[[#This Row],[PV]]-tbl_Ventes[[#This Row],[PA]])</f>
        <v>1152</v>
      </c>
    </row>
    <row r="3" spans="1:9" x14ac:dyDescent="0.25">
      <c r="A3" s="7">
        <v>44208</v>
      </c>
      <c r="B3" s="6" t="s">
        <v>63</v>
      </c>
      <c r="C3" s="6" t="s">
        <v>81</v>
      </c>
      <c r="D3" s="6" t="s">
        <v>84</v>
      </c>
      <c r="E3" s="6">
        <v>4</v>
      </c>
      <c r="F3" s="6">
        <v>360</v>
      </c>
      <c r="G3" s="6">
        <f t="shared" si="0"/>
        <v>504</v>
      </c>
      <c r="H3" s="5">
        <f>tbl_Ventes[[#This Row],[PV]]*tbl_Ventes[[#This Row],[Qté]]</f>
        <v>2016</v>
      </c>
      <c r="I3" s="5">
        <f>tbl_Ventes[[#This Row],[Qté]]*(tbl_Ventes[[#This Row],[PV]]-tbl_Ventes[[#This Row],[PA]])</f>
        <v>576</v>
      </c>
    </row>
    <row r="4" spans="1:9" x14ac:dyDescent="0.25">
      <c r="A4" s="7">
        <v>44215</v>
      </c>
      <c r="B4" s="6" t="s">
        <v>64</v>
      </c>
      <c r="C4" s="6" t="s">
        <v>80</v>
      </c>
      <c r="D4" s="6" t="s">
        <v>83</v>
      </c>
      <c r="E4" s="6">
        <v>7</v>
      </c>
      <c r="F4" s="6">
        <v>228</v>
      </c>
      <c r="G4" s="6">
        <f t="shared" si="0"/>
        <v>319</v>
      </c>
      <c r="H4" s="5">
        <f>tbl_Ventes[[#This Row],[PV]]*tbl_Ventes[[#This Row],[Qté]]</f>
        <v>2233</v>
      </c>
      <c r="I4" s="5">
        <f>tbl_Ventes[[#This Row],[Qté]]*(tbl_Ventes[[#This Row],[PV]]-tbl_Ventes[[#This Row],[PA]])</f>
        <v>637</v>
      </c>
    </row>
    <row r="5" spans="1:9" x14ac:dyDescent="0.25">
      <c r="A5" s="7">
        <v>44215</v>
      </c>
      <c r="B5" s="6" t="s">
        <v>64</v>
      </c>
      <c r="C5" s="6" t="s">
        <v>81</v>
      </c>
      <c r="D5" s="6" t="s">
        <v>85</v>
      </c>
      <c r="E5" s="6">
        <v>2</v>
      </c>
      <c r="F5" s="6">
        <v>228</v>
      </c>
      <c r="G5" s="6">
        <f t="shared" si="0"/>
        <v>319</v>
      </c>
      <c r="H5" s="5">
        <f>tbl_Ventes[[#This Row],[PV]]*tbl_Ventes[[#This Row],[Qté]]</f>
        <v>638</v>
      </c>
      <c r="I5" s="5">
        <f>tbl_Ventes[[#This Row],[Qté]]*(tbl_Ventes[[#This Row],[PV]]-tbl_Ventes[[#This Row],[PA]])</f>
        <v>182</v>
      </c>
    </row>
    <row r="6" spans="1:9" x14ac:dyDescent="0.25">
      <c r="A6" s="7">
        <v>44222</v>
      </c>
      <c r="B6" s="6" t="s">
        <v>65</v>
      </c>
      <c r="C6" s="6" t="s">
        <v>78</v>
      </c>
      <c r="D6" s="6" t="s">
        <v>96</v>
      </c>
      <c r="E6" s="6">
        <v>9</v>
      </c>
      <c r="F6" s="6">
        <v>474</v>
      </c>
      <c r="G6" s="6">
        <f t="shared" si="0"/>
        <v>663</v>
      </c>
      <c r="H6" s="5">
        <f>tbl_Ventes[[#This Row],[PV]]*tbl_Ventes[[#This Row],[Qté]]</f>
        <v>5967</v>
      </c>
      <c r="I6" s="5">
        <f>tbl_Ventes[[#This Row],[Qté]]*(tbl_Ventes[[#This Row],[PV]]-tbl_Ventes[[#This Row],[PA]])</f>
        <v>1701</v>
      </c>
    </row>
    <row r="7" spans="1:9" x14ac:dyDescent="0.25">
      <c r="A7" s="7">
        <v>44222</v>
      </c>
      <c r="B7" s="6" t="s">
        <v>65</v>
      </c>
      <c r="C7" s="6" t="s">
        <v>79</v>
      </c>
      <c r="D7" s="6" t="s">
        <v>96</v>
      </c>
      <c r="E7" s="6">
        <v>5</v>
      </c>
      <c r="F7" s="6">
        <v>474</v>
      </c>
      <c r="G7" s="6">
        <f t="shared" si="0"/>
        <v>663</v>
      </c>
      <c r="H7" s="5">
        <f>tbl_Ventes[[#This Row],[PV]]*tbl_Ventes[[#This Row],[Qté]]</f>
        <v>3315</v>
      </c>
      <c r="I7" s="5">
        <f>tbl_Ventes[[#This Row],[Qté]]*(tbl_Ventes[[#This Row],[PV]]-tbl_Ventes[[#This Row],[PA]])</f>
        <v>945</v>
      </c>
    </row>
    <row r="8" spans="1:9" x14ac:dyDescent="0.25">
      <c r="A8" s="7">
        <v>44229</v>
      </c>
      <c r="B8" s="6" t="s">
        <v>66</v>
      </c>
      <c r="C8" s="6" t="s">
        <v>81</v>
      </c>
      <c r="D8" s="6" t="s">
        <v>82</v>
      </c>
      <c r="E8" s="6">
        <v>11</v>
      </c>
      <c r="F8" s="6">
        <v>206</v>
      </c>
      <c r="G8" s="6">
        <f t="shared" si="0"/>
        <v>288</v>
      </c>
      <c r="H8" s="5">
        <f>tbl_Ventes[[#This Row],[PV]]*tbl_Ventes[[#This Row],[Qté]]</f>
        <v>3168</v>
      </c>
      <c r="I8" s="5">
        <f>tbl_Ventes[[#This Row],[Qté]]*(tbl_Ventes[[#This Row],[PV]]-tbl_Ventes[[#This Row],[PA]])</f>
        <v>902</v>
      </c>
    </row>
    <row r="9" spans="1:9" x14ac:dyDescent="0.25">
      <c r="A9" s="7">
        <v>44229</v>
      </c>
      <c r="B9" s="6" t="s">
        <v>66</v>
      </c>
      <c r="C9" s="6" t="s">
        <v>78</v>
      </c>
      <c r="D9" s="6" t="s">
        <v>82</v>
      </c>
      <c r="E9" s="6">
        <v>12</v>
      </c>
      <c r="F9" s="6">
        <v>206</v>
      </c>
      <c r="G9" s="6">
        <f t="shared" si="0"/>
        <v>288</v>
      </c>
      <c r="H9" s="5">
        <f>tbl_Ventes[[#This Row],[PV]]*tbl_Ventes[[#This Row],[Qté]]</f>
        <v>3456</v>
      </c>
      <c r="I9" s="5">
        <f>tbl_Ventes[[#This Row],[Qté]]*(tbl_Ventes[[#This Row],[PV]]-tbl_Ventes[[#This Row],[PA]])</f>
        <v>984</v>
      </c>
    </row>
    <row r="10" spans="1:9" x14ac:dyDescent="0.25">
      <c r="A10" s="7">
        <v>44236</v>
      </c>
      <c r="B10" s="6" t="s">
        <v>67</v>
      </c>
      <c r="C10" s="6" t="s">
        <v>80</v>
      </c>
      <c r="D10" s="6" t="s">
        <v>84</v>
      </c>
      <c r="E10" s="6">
        <v>23</v>
      </c>
      <c r="F10" s="6">
        <v>278</v>
      </c>
      <c r="G10" s="6">
        <f t="shared" si="0"/>
        <v>389</v>
      </c>
      <c r="H10" s="5">
        <f>tbl_Ventes[[#This Row],[PV]]*tbl_Ventes[[#This Row],[Qté]]</f>
        <v>8947</v>
      </c>
      <c r="I10" s="5">
        <f>tbl_Ventes[[#This Row],[Qté]]*(tbl_Ventes[[#This Row],[PV]]-tbl_Ventes[[#This Row],[PA]])</f>
        <v>2553</v>
      </c>
    </row>
    <row r="11" spans="1:9" x14ac:dyDescent="0.25">
      <c r="A11" s="7">
        <v>44236</v>
      </c>
      <c r="B11" s="6" t="s">
        <v>67</v>
      </c>
      <c r="C11" s="6" t="s">
        <v>81</v>
      </c>
      <c r="D11" s="6" t="s">
        <v>83</v>
      </c>
      <c r="E11" s="6">
        <v>14</v>
      </c>
      <c r="F11" s="6">
        <v>278</v>
      </c>
      <c r="G11" s="6">
        <f t="shared" si="0"/>
        <v>389</v>
      </c>
      <c r="H11" s="5">
        <f>tbl_Ventes[[#This Row],[PV]]*tbl_Ventes[[#This Row],[Qté]]</f>
        <v>5446</v>
      </c>
      <c r="I11" s="5">
        <f>tbl_Ventes[[#This Row],[Qté]]*(tbl_Ventes[[#This Row],[PV]]-tbl_Ventes[[#This Row],[PA]])</f>
        <v>1554</v>
      </c>
    </row>
    <row r="12" spans="1:9" x14ac:dyDescent="0.25">
      <c r="A12" s="7">
        <v>44243</v>
      </c>
      <c r="B12" s="6" t="s">
        <v>68</v>
      </c>
      <c r="C12" s="6" t="s">
        <v>78</v>
      </c>
      <c r="D12" s="6" t="s">
        <v>96</v>
      </c>
      <c r="E12" s="6">
        <v>20</v>
      </c>
      <c r="F12" s="6">
        <v>255</v>
      </c>
      <c r="G12" s="6">
        <f t="shared" si="0"/>
        <v>357</v>
      </c>
      <c r="H12" s="5">
        <f>tbl_Ventes[[#This Row],[PV]]*tbl_Ventes[[#This Row],[Qté]]</f>
        <v>7140</v>
      </c>
      <c r="I12" s="5">
        <f>tbl_Ventes[[#This Row],[Qté]]*(tbl_Ventes[[#This Row],[PV]]-tbl_Ventes[[#This Row],[PA]])</f>
        <v>2040</v>
      </c>
    </row>
    <row r="13" spans="1:9" x14ac:dyDescent="0.25">
      <c r="A13" s="7">
        <v>44243</v>
      </c>
      <c r="B13" s="6" t="s">
        <v>68</v>
      </c>
      <c r="C13" s="6" t="s">
        <v>81</v>
      </c>
      <c r="D13" s="6" t="s">
        <v>84</v>
      </c>
      <c r="E13" s="6">
        <v>5</v>
      </c>
      <c r="F13" s="6">
        <v>255</v>
      </c>
      <c r="G13" s="6">
        <f t="shared" si="0"/>
        <v>357</v>
      </c>
      <c r="H13" s="5">
        <f>tbl_Ventes[[#This Row],[PV]]*tbl_Ventes[[#This Row],[Qté]]</f>
        <v>1785</v>
      </c>
      <c r="I13" s="5">
        <f>tbl_Ventes[[#This Row],[Qté]]*(tbl_Ventes[[#This Row],[PV]]-tbl_Ventes[[#This Row],[PA]])</f>
        <v>510</v>
      </c>
    </row>
    <row r="14" spans="1:9" x14ac:dyDescent="0.25">
      <c r="A14" s="7">
        <v>44250</v>
      </c>
      <c r="B14" s="6" t="s">
        <v>58</v>
      </c>
      <c r="C14" s="6" t="s">
        <v>81</v>
      </c>
      <c r="D14" s="6" t="s">
        <v>82</v>
      </c>
      <c r="E14" s="6">
        <v>12</v>
      </c>
      <c r="F14" s="6">
        <v>472</v>
      </c>
      <c r="G14" s="6">
        <f t="shared" si="0"/>
        <v>660</v>
      </c>
      <c r="H14" s="5">
        <f>tbl_Ventes[[#This Row],[PV]]*tbl_Ventes[[#This Row],[Qté]]</f>
        <v>7920</v>
      </c>
      <c r="I14" s="5">
        <f>tbl_Ventes[[#This Row],[Qté]]*(tbl_Ventes[[#This Row],[PV]]-tbl_Ventes[[#This Row],[PA]])</f>
        <v>2256</v>
      </c>
    </row>
    <row r="15" spans="1:9" x14ac:dyDescent="0.25">
      <c r="A15" s="7">
        <v>44250</v>
      </c>
      <c r="B15" s="6" t="s">
        <v>58</v>
      </c>
      <c r="C15" s="6" t="s">
        <v>81</v>
      </c>
      <c r="D15" s="6" t="s">
        <v>83</v>
      </c>
      <c r="E15" s="6">
        <v>12</v>
      </c>
      <c r="F15" s="6">
        <v>472</v>
      </c>
      <c r="G15" s="6">
        <f t="shared" si="0"/>
        <v>660</v>
      </c>
      <c r="H15" s="5">
        <f>tbl_Ventes[[#This Row],[PV]]*tbl_Ventes[[#This Row],[Qté]]</f>
        <v>7920</v>
      </c>
      <c r="I15" s="5">
        <f>tbl_Ventes[[#This Row],[Qté]]*(tbl_Ventes[[#This Row],[PV]]-tbl_Ventes[[#This Row],[PA]])</f>
        <v>2256</v>
      </c>
    </row>
    <row r="16" spans="1:9" x14ac:dyDescent="0.25">
      <c r="A16" s="7">
        <v>44257</v>
      </c>
      <c r="B16" s="6" t="s">
        <v>69</v>
      </c>
      <c r="C16" s="6" t="s">
        <v>79</v>
      </c>
      <c r="D16" s="6" t="s">
        <v>84</v>
      </c>
      <c r="E16" s="6">
        <v>10</v>
      </c>
      <c r="F16" s="6">
        <v>213</v>
      </c>
      <c r="G16" s="6">
        <f t="shared" si="0"/>
        <v>298</v>
      </c>
      <c r="H16" s="5">
        <f>tbl_Ventes[[#This Row],[PV]]*tbl_Ventes[[#This Row],[Qté]]</f>
        <v>2980</v>
      </c>
      <c r="I16" s="5">
        <f>tbl_Ventes[[#This Row],[Qté]]*(tbl_Ventes[[#This Row],[PV]]-tbl_Ventes[[#This Row],[PA]])</f>
        <v>850</v>
      </c>
    </row>
    <row r="17" spans="1:9" x14ac:dyDescent="0.25">
      <c r="A17" s="7">
        <v>44257</v>
      </c>
      <c r="B17" s="6" t="s">
        <v>69</v>
      </c>
      <c r="C17" s="6" t="s">
        <v>80</v>
      </c>
      <c r="D17" s="6" t="s">
        <v>82</v>
      </c>
      <c r="E17" s="6">
        <v>5</v>
      </c>
      <c r="F17" s="6">
        <v>213</v>
      </c>
      <c r="G17" s="6">
        <f t="shared" si="0"/>
        <v>298</v>
      </c>
      <c r="H17" s="5">
        <f>tbl_Ventes[[#This Row],[PV]]*tbl_Ventes[[#This Row],[Qté]]</f>
        <v>1490</v>
      </c>
      <c r="I17" s="5">
        <f>tbl_Ventes[[#This Row],[Qté]]*(tbl_Ventes[[#This Row],[PV]]-tbl_Ventes[[#This Row],[PA]])</f>
        <v>425</v>
      </c>
    </row>
    <row r="18" spans="1:9" x14ac:dyDescent="0.25">
      <c r="A18" s="7">
        <v>44264</v>
      </c>
      <c r="B18" s="6" t="s">
        <v>59</v>
      </c>
      <c r="C18" s="6" t="s">
        <v>79</v>
      </c>
      <c r="D18" s="6" t="s">
        <v>96</v>
      </c>
      <c r="E18" s="6">
        <v>24</v>
      </c>
      <c r="F18" s="6">
        <v>478</v>
      </c>
      <c r="G18" s="6">
        <f t="shared" si="0"/>
        <v>669</v>
      </c>
      <c r="H18" s="5">
        <f>tbl_Ventes[[#This Row],[PV]]*tbl_Ventes[[#This Row],[Qté]]</f>
        <v>16056</v>
      </c>
      <c r="I18" s="5">
        <f>tbl_Ventes[[#This Row],[Qté]]*(tbl_Ventes[[#This Row],[PV]]-tbl_Ventes[[#This Row],[PA]])</f>
        <v>4584</v>
      </c>
    </row>
    <row r="19" spans="1:9" x14ac:dyDescent="0.25">
      <c r="A19" s="7">
        <v>44264</v>
      </c>
      <c r="B19" s="6" t="s">
        <v>59</v>
      </c>
      <c r="C19" s="6" t="s">
        <v>78</v>
      </c>
      <c r="D19" s="6" t="s">
        <v>82</v>
      </c>
      <c r="E19" s="6">
        <v>10</v>
      </c>
      <c r="F19" s="6">
        <v>478</v>
      </c>
      <c r="G19" s="6">
        <f t="shared" si="0"/>
        <v>669</v>
      </c>
      <c r="H19" s="5">
        <f>tbl_Ventes[[#This Row],[PV]]*tbl_Ventes[[#This Row],[Qté]]</f>
        <v>6690</v>
      </c>
      <c r="I19" s="5">
        <f>tbl_Ventes[[#This Row],[Qté]]*(tbl_Ventes[[#This Row],[PV]]-tbl_Ventes[[#This Row],[PA]])</f>
        <v>1910</v>
      </c>
    </row>
    <row r="20" spans="1:9" x14ac:dyDescent="0.25">
      <c r="A20" s="7">
        <v>44271</v>
      </c>
      <c r="B20" s="6" t="s">
        <v>60</v>
      </c>
      <c r="C20" s="6" t="s">
        <v>79</v>
      </c>
      <c r="D20" s="6" t="s">
        <v>85</v>
      </c>
      <c r="E20" s="6">
        <v>14</v>
      </c>
      <c r="F20" s="6">
        <v>362</v>
      </c>
      <c r="G20" s="6">
        <f t="shared" si="0"/>
        <v>506</v>
      </c>
      <c r="H20" s="5">
        <f>tbl_Ventes[[#This Row],[PV]]*tbl_Ventes[[#This Row],[Qté]]</f>
        <v>7084</v>
      </c>
      <c r="I20" s="5">
        <f>tbl_Ventes[[#This Row],[Qté]]*(tbl_Ventes[[#This Row],[PV]]-tbl_Ventes[[#This Row],[PA]])</f>
        <v>2016</v>
      </c>
    </row>
    <row r="21" spans="1:9" x14ac:dyDescent="0.25">
      <c r="A21" s="7">
        <v>44271</v>
      </c>
      <c r="B21" s="6" t="s">
        <v>60</v>
      </c>
      <c r="C21" s="6" t="s">
        <v>79</v>
      </c>
      <c r="D21" s="6" t="s">
        <v>96</v>
      </c>
      <c r="E21" s="6">
        <v>19</v>
      </c>
      <c r="F21" s="6">
        <v>362</v>
      </c>
      <c r="G21" s="6">
        <f t="shared" si="0"/>
        <v>506</v>
      </c>
      <c r="H21" s="5">
        <f>tbl_Ventes[[#This Row],[PV]]*tbl_Ventes[[#This Row],[Qté]]</f>
        <v>9614</v>
      </c>
      <c r="I21" s="5">
        <f>tbl_Ventes[[#This Row],[Qté]]*(tbl_Ventes[[#This Row],[PV]]-tbl_Ventes[[#This Row],[PA]])</f>
        <v>2736</v>
      </c>
    </row>
    <row r="22" spans="1:9" x14ac:dyDescent="0.25">
      <c r="A22" s="7">
        <v>44278</v>
      </c>
      <c r="B22" s="6" t="s">
        <v>61</v>
      </c>
      <c r="C22" s="6" t="s">
        <v>80</v>
      </c>
      <c r="D22" s="6" t="s">
        <v>96</v>
      </c>
      <c r="E22" s="6">
        <v>13</v>
      </c>
      <c r="F22" s="6">
        <v>434</v>
      </c>
      <c r="G22" s="6">
        <f t="shared" si="0"/>
        <v>607</v>
      </c>
      <c r="H22" s="5">
        <f>tbl_Ventes[[#This Row],[PV]]*tbl_Ventes[[#This Row],[Qté]]</f>
        <v>7891</v>
      </c>
      <c r="I22" s="5">
        <f>tbl_Ventes[[#This Row],[Qté]]*(tbl_Ventes[[#This Row],[PV]]-tbl_Ventes[[#This Row],[PA]])</f>
        <v>2249</v>
      </c>
    </row>
    <row r="23" spans="1:9" x14ac:dyDescent="0.25">
      <c r="A23" s="7">
        <v>44278</v>
      </c>
      <c r="B23" s="6" t="s">
        <v>61</v>
      </c>
      <c r="C23" s="6" t="s">
        <v>80</v>
      </c>
      <c r="D23" s="6" t="s">
        <v>96</v>
      </c>
      <c r="E23" s="6">
        <v>14</v>
      </c>
      <c r="F23" s="6">
        <v>434</v>
      </c>
      <c r="G23" s="6">
        <f t="shared" si="0"/>
        <v>607</v>
      </c>
      <c r="H23" s="5">
        <f>tbl_Ventes[[#This Row],[PV]]*tbl_Ventes[[#This Row],[Qté]]</f>
        <v>8498</v>
      </c>
      <c r="I23" s="5">
        <f>tbl_Ventes[[#This Row],[Qté]]*(tbl_Ventes[[#This Row],[PV]]-tbl_Ventes[[#This Row],[PA]])</f>
        <v>2422</v>
      </c>
    </row>
    <row r="24" spans="1:9" x14ac:dyDescent="0.25">
      <c r="A24" s="7">
        <v>44285</v>
      </c>
      <c r="B24" s="6" t="s">
        <v>62</v>
      </c>
      <c r="C24" s="6" t="s">
        <v>80</v>
      </c>
      <c r="D24" s="6" t="s">
        <v>85</v>
      </c>
      <c r="E24" s="6">
        <v>4</v>
      </c>
      <c r="F24" s="6">
        <v>407</v>
      </c>
      <c r="G24" s="6">
        <f t="shared" si="0"/>
        <v>569</v>
      </c>
      <c r="H24" s="5">
        <f>tbl_Ventes[[#This Row],[PV]]*tbl_Ventes[[#This Row],[Qté]]</f>
        <v>2276</v>
      </c>
      <c r="I24" s="5">
        <f>tbl_Ventes[[#This Row],[Qté]]*(tbl_Ventes[[#This Row],[PV]]-tbl_Ventes[[#This Row],[PA]])</f>
        <v>648</v>
      </c>
    </row>
    <row r="25" spans="1:9" x14ac:dyDescent="0.25">
      <c r="A25" s="7">
        <v>44285</v>
      </c>
      <c r="B25" s="6" t="s">
        <v>62</v>
      </c>
      <c r="C25" s="6" t="s">
        <v>80</v>
      </c>
      <c r="D25" s="6" t="s">
        <v>82</v>
      </c>
      <c r="E25" s="6">
        <v>8</v>
      </c>
      <c r="F25" s="6">
        <v>407</v>
      </c>
      <c r="G25" s="6">
        <f t="shared" si="0"/>
        <v>569</v>
      </c>
      <c r="H25" s="5">
        <f>tbl_Ventes[[#This Row],[PV]]*tbl_Ventes[[#This Row],[Qté]]</f>
        <v>4552</v>
      </c>
      <c r="I25" s="5">
        <f>tbl_Ventes[[#This Row],[Qté]]*(tbl_Ventes[[#This Row],[PV]]-tbl_Ventes[[#This Row],[PA]])</f>
        <v>1296</v>
      </c>
    </row>
    <row r="26" spans="1:9" x14ac:dyDescent="0.25">
      <c r="A26" s="7">
        <v>44292</v>
      </c>
      <c r="B26" s="6" t="s">
        <v>70</v>
      </c>
      <c r="C26" s="6" t="s">
        <v>79</v>
      </c>
      <c r="D26" s="6" t="s">
        <v>84</v>
      </c>
      <c r="E26" s="6">
        <v>14</v>
      </c>
      <c r="F26" s="6">
        <v>265</v>
      </c>
      <c r="G26" s="6">
        <f t="shared" si="0"/>
        <v>371</v>
      </c>
      <c r="H26" s="5">
        <f>tbl_Ventes[[#This Row],[PV]]*tbl_Ventes[[#This Row],[Qté]]</f>
        <v>5194</v>
      </c>
      <c r="I26" s="5">
        <f>tbl_Ventes[[#This Row],[Qté]]*(tbl_Ventes[[#This Row],[PV]]-tbl_Ventes[[#This Row],[PA]])</f>
        <v>1484</v>
      </c>
    </row>
    <row r="27" spans="1:9" x14ac:dyDescent="0.25">
      <c r="A27" s="7">
        <v>44292</v>
      </c>
      <c r="B27" s="6" t="s">
        <v>63</v>
      </c>
      <c r="C27" s="6" t="s">
        <v>81</v>
      </c>
      <c r="D27" s="6" t="s">
        <v>84</v>
      </c>
      <c r="E27" s="6">
        <v>10</v>
      </c>
      <c r="F27" s="6">
        <v>360</v>
      </c>
      <c r="G27" s="6">
        <f t="shared" si="0"/>
        <v>504</v>
      </c>
      <c r="H27" s="5">
        <f>tbl_Ventes[[#This Row],[PV]]*tbl_Ventes[[#This Row],[Qté]]</f>
        <v>5040</v>
      </c>
      <c r="I27" s="5">
        <f>tbl_Ventes[[#This Row],[Qté]]*(tbl_Ventes[[#This Row],[PV]]-tbl_Ventes[[#This Row],[PA]])</f>
        <v>1440</v>
      </c>
    </row>
    <row r="28" spans="1:9" x14ac:dyDescent="0.25">
      <c r="A28" s="7">
        <v>44299</v>
      </c>
      <c r="B28" s="6" t="s">
        <v>71</v>
      </c>
      <c r="C28" s="6" t="s">
        <v>78</v>
      </c>
      <c r="D28" s="6" t="s">
        <v>83</v>
      </c>
      <c r="E28" s="6">
        <v>5</v>
      </c>
      <c r="F28" s="6">
        <v>427</v>
      </c>
      <c r="G28" s="6">
        <f t="shared" si="0"/>
        <v>597</v>
      </c>
      <c r="H28" s="5">
        <f>tbl_Ventes[[#This Row],[PV]]*tbl_Ventes[[#This Row],[Qté]]</f>
        <v>2985</v>
      </c>
      <c r="I28" s="5">
        <f>tbl_Ventes[[#This Row],[Qté]]*(tbl_Ventes[[#This Row],[PV]]-tbl_Ventes[[#This Row],[PA]])</f>
        <v>850</v>
      </c>
    </row>
    <row r="29" spans="1:9" x14ac:dyDescent="0.25">
      <c r="A29" s="7">
        <v>44299</v>
      </c>
      <c r="B29" s="6" t="s">
        <v>64</v>
      </c>
      <c r="C29" s="6" t="s">
        <v>80</v>
      </c>
      <c r="D29" s="6" t="s">
        <v>83</v>
      </c>
      <c r="E29" s="6">
        <v>13</v>
      </c>
      <c r="F29" s="6">
        <v>228</v>
      </c>
      <c r="G29" s="6">
        <f t="shared" si="0"/>
        <v>319</v>
      </c>
      <c r="H29" s="5">
        <f>tbl_Ventes[[#This Row],[PV]]*tbl_Ventes[[#This Row],[Qté]]</f>
        <v>4147</v>
      </c>
      <c r="I29" s="5">
        <f>tbl_Ventes[[#This Row],[Qté]]*(tbl_Ventes[[#This Row],[PV]]-tbl_Ventes[[#This Row],[PA]])</f>
        <v>1183</v>
      </c>
    </row>
    <row r="30" spans="1:9" x14ac:dyDescent="0.25">
      <c r="A30" s="7">
        <v>44306</v>
      </c>
      <c r="B30" s="6" t="s">
        <v>72</v>
      </c>
      <c r="C30" s="6" t="s">
        <v>79</v>
      </c>
      <c r="D30" s="6" t="s">
        <v>82</v>
      </c>
      <c r="E30" s="6">
        <v>12</v>
      </c>
      <c r="F30" s="6">
        <v>224</v>
      </c>
      <c r="G30" s="6">
        <f t="shared" si="0"/>
        <v>313</v>
      </c>
      <c r="H30" s="5">
        <f>tbl_Ventes[[#This Row],[PV]]*tbl_Ventes[[#This Row],[Qté]]</f>
        <v>3756</v>
      </c>
      <c r="I30" s="5">
        <f>tbl_Ventes[[#This Row],[Qté]]*(tbl_Ventes[[#This Row],[PV]]-tbl_Ventes[[#This Row],[PA]])</f>
        <v>1068</v>
      </c>
    </row>
    <row r="31" spans="1:9" x14ac:dyDescent="0.25">
      <c r="A31" s="7">
        <v>44306</v>
      </c>
      <c r="B31" s="6" t="s">
        <v>65</v>
      </c>
      <c r="C31" s="6" t="s">
        <v>80</v>
      </c>
      <c r="D31" s="6" t="s">
        <v>96</v>
      </c>
      <c r="E31" s="6">
        <v>5</v>
      </c>
      <c r="F31" s="6">
        <v>474</v>
      </c>
      <c r="G31" s="6">
        <f t="shared" si="0"/>
        <v>663</v>
      </c>
      <c r="H31" s="5">
        <f>tbl_Ventes[[#This Row],[PV]]*tbl_Ventes[[#This Row],[Qté]]</f>
        <v>3315</v>
      </c>
      <c r="I31" s="5">
        <f>tbl_Ventes[[#This Row],[Qté]]*(tbl_Ventes[[#This Row],[PV]]-tbl_Ventes[[#This Row],[PA]])</f>
        <v>945</v>
      </c>
    </row>
    <row r="32" spans="1:9" x14ac:dyDescent="0.25">
      <c r="A32" s="7">
        <v>44313</v>
      </c>
      <c r="B32" s="6" t="s">
        <v>73</v>
      </c>
      <c r="C32" s="6" t="s">
        <v>79</v>
      </c>
      <c r="D32" s="6" t="s">
        <v>83</v>
      </c>
      <c r="E32" s="6">
        <v>5</v>
      </c>
      <c r="F32" s="6">
        <v>270</v>
      </c>
      <c r="G32" s="6">
        <f t="shared" si="0"/>
        <v>378</v>
      </c>
      <c r="H32" s="5">
        <f>tbl_Ventes[[#This Row],[PV]]*tbl_Ventes[[#This Row],[Qté]]</f>
        <v>1890</v>
      </c>
      <c r="I32" s="5">
        <f>tbl_Ventes[[#This Row],[Qté]]*(tbl_Ventes[[#This Row],[PV]]-tbl_Ventes[[#This Row],[PA]])</f>
        <v>540</v>
      </c>
    </row>
    <row r="33" spans="1:9" x14ac:dyDescent="0.25">
      <c r="A33" s="7">
        <v>44313</v>
      </c>
      <c r="B33" s="6" t="s">
        <v>66</v>
      </c>
      <c r="C33" s="6" t="s">
        <v>78</v>
      </c>
      <c r="D33" s="6" t="s">
        <v>85</v>
      </c>
      <c r="E33" s="6">
        <v>8</v>
      </c>
      <c r="F33" s="6">
        <v>206</v>
      </c>
      <c r="G33" s="6">
        <f t="shared" si="0"/>
        <v>288</v>
      </c>
      <c r="H33" s="5">
        <f>tbl_Ventes[[#This Row],[PV]]*tbl_Ventes[[#This Row],[Qté]]</f>
        <v>2304</v>
      </c>
      <c r="I33" s="5">
        <f>tbl_Ventes[[#This Row],[Qté]]*(tbl_Ventes[[#This Row],[PV]]-tbl_Ventes[[#This Row],[PA]])</f>
        <v>656</v>
      </c>
    </row>
    <row r="34" spans="1:9" x14ac:dyDescent="0.25">
      <c r="A34" s="7">
        <v>44320</v>
      </c>
      <c r="B34" s="6" t="s">
        <v>74</v>
      </c>
      <c r="C34" s="6" t="s">
        <v>81</v>
      </c>
      <c r="D34" s="6" t="s">
        <v>85</v>
      </c>
      <c r="E34" s="6">
        <v>7</v>
      </c>
      <c r="F34" s="6">
        <v>385</v>
      </c>
      <c r="G34" s="6">
        <f t="shared" si="0"/>
        <v>539</v>
      </c>
      <c r="H34" s="5">
        <f>tbl_Ventes[[#This Row],[PV]]*tbl_Ventes[[#This Row],[Qté]]</f>
        <v>3773</v>
      </c>
      <c r="I34" s="5">
        <f>tbl_Ventes[[#This Row],[Qté]]*(tbl_Ventes[[#This Row],[PV]]-tbl_Ventes[[#This Row],[PA]])</f>
        <v>1078</v>
      </c>
    </row>
    <row r="35" spans="1:9" x14ac:dyDescent="0.25">
      <c r="A35" s="7">
        <v>44320</v>
      </c>
      <c r="B35" s="6" t="s">
        <v>67</v>
      </c>
      <c r="C35" s="6" t="s">
        <v>78</v>
      </c>
      <c r="D35" s="6" t="s">
        <v>83</v>
      </c>
      <c r="E35" s="6">
        <v>6</v>
      </c>
      <c r="F35" s="6">
        <v>278</v>
      </c>
      <c r="G35" s="6">
        <f t="shared" si="0"/>
        <v>389</v>
      </c>
      <c r="H35" s="5">
        <f>tbl_Ventes[[#This Row],[PV]]*tbl_Ventes[[#This Row],[Qté]]</f>
        <v>2334</v>
      </c>
      <c r="I35" s="5">
        <f>tbl_Ventes[[#This Row],[Qté]]*(tbl_Ventes[[#This Row],[PV]]-tbl_Ventes[[#This Row],[PA]])</f>
        <v>666</v>
      </c>
    </row>
    <row r="36" spans="1:9" x14ac:dyDescent="0.25">
      <c r="A36" s="7">
        <v>44327</v>
      </c>
      <c r="B36" s="6" t="s">
        <v>75</v>
      </c>
      <c r="C36" s="6" t="s">
        <v>81</v>
      </c>
      <c r="D36" s="6" t="s">
        <v>83</v>
      </c>
      <c r="E36" s="6">
        <v>9</v>
      </c>
      <c r="F36" s="6">
        <v>105</v>
      </c>
      <c r="G36" s="6">
        <f t="shared" si="0"/>
        <v>147</v>
      </c>
      <c r="H36" s="5">
        <f>tbl_Ventes[[#This Row],[PV]]*tbl_Ventes[[#This Row],[Qté]]</f>
        <v>1323</v>
      </c>
      <c r="I36" s="5">
        <f>tbl_Ventes[[#This Row],[Qté]]*(tbl_Ventes[[#This Row],[PV]]-tbl_Ventes[[#This Row],[PA]])</f>
        <v>378</v>
      </c>
    </row>
    <row r="37" spans="1:9" x14ac:dyDescent="0.25">
      <c r="A37" s="7">
        <v>44327</v>
      </c>
      <c r="B37" s="6" t="s">
        <v>68</v>
      </c>
      <c r="C37" s="6" t="s">
        <v>81</v>
      </c>
      <c r="D37" s="6" t="s">
        <v>96</v>
      </c>
      <c r="E37" s="6">
        <v>5</v>
      </c>
      <c r="F37" s="6">
        <v>255</v>
      </c>
      <c r="G37" s="6">
        <f t="shared" si="0"/>
        <v>357</v>
      </c>
      <c r="H37" s="5">
        <f>tbl_Ventes[[#This Row],[PV]]*tbl_Ventes[[#This Row],[Qté]]</f>
        <v>1785</v>
      </c>
      <c r="I37" s="5">
        <f>tbl_Ventes[[#This Row],[Qté]]*(tbl_Ventes[[#This Row],[PV]]-tbl_Ventes[[#This Row],[PA]])</f>
        <v>510</v>
      </c>
    </row>
    <row r="38" spans="1:9" x14ac:dyDescent="0.25">
      <c r="A38" s="7">
        <v>44334</v>
      </c>
      <c r="B38" s="6" t="s">
        <v>76</v>
      </c>
      <c r="C38" s="6" t="s">
        <v>81</v>
      </c>
      <c r="D38" s="6" t="s">
        <v>96</v>
      </c>
      <c r="E38" s="6">
        <v>14</v>
      </c>
      <c r="F38" s="6">
        <v>382</v>
      </c>
      <c r="G38" s="6">
        <f t="shared" si="0"/>
        <v>534</v>
      </c>
      <c r="H38" s="5">
        <f>tbl_Ventes[[#This Row],[PV]]*tbl_Ventes[[#This Row],[Qté]]</f>
        <v>7476</v>
      </c>
      <c r="I38" s="5">
        <f>tbl_Ventes[[#This Row],[Qté]]*(tbl_Ventes[[#This Row],[PV]]-tbl_Ventes[[#This Row],[PA]])</f>
        <v>2128</v>
      </c>
    </row>
    <row r="39" spans="1:9" x14ac:dyDescent="0.25">
      <c r="A39" s="7">
        <v>44334</v>
      </c>
      <c r="B39" s="6" t="s">
        <v>58</v>
      </c>
      <c r="C39" s="6" t="s">
        <v>80</v>
      </c>
      <c r="D39" s="6" t="s">
        <v>85</v>
      </c>
      <c r="E39" s="6">
        <v>23</v>
      </c>
      <c r="F39" s="6">
        <v>472</v>
      </c>
      <c r="G39" s="6">
        <f t="shared" si="0"/>
        <v>660</v>
      </c>
      <c r="H39" s="5">
        <f>tbl_Ventes[[#This Row],[PV]]*tbl_Ventes[[#This Row],[Qté]]</f>
        <v>15180</v>
      </c>
      <c r="I39" s="5">
        <f>tbl_Ventes[[#This Row],[Qté]]*(tbl_Ventes[[#This Row],[PV]]-tbl_Ventes[[#This Row],[PA]])</f>
        <v>4324</v>
      </c>
    </row>
    <row r="40" spans="1:9" x14ac:dyDescent="0.25">
      <c r="A40" s="7">
        <v>44341</v>
      </c>
      <c r="B40" s="6" t="s">
        <v>77</v>
      </c>
      <c r="C40" s="6" t="s">
        <v>78</v>
      </c>
      <c r="D40" s="6" t="s">
        <v>84</v>
      </c>
      <c r="E40" s="6">
        <v>8</v>
      </c>
      <c r="F40" s="6">
        <v>300</v>
      </c>
      <c r="G40" s="6">
        <f t="shared" si="0"/>
        <v>420</v>
      </c>
      <c r="H40" s="5">
        <f>tbl_Ventes[[#This Row],[PV]]*tbl_Ventes[[#This Row],[Qté]]</f>
        <v>3360</v>
      </c>
      <c r="I40" s="5">
        <f>tbl_Ventes[[#This Row],[Qté]]*(tbl_Ventes[[#This Row],[PV]]-tbl_Ventes[[#This Row],[PA]])</f>
        <v>960</v>
      </c>
    </row>
    <row r="41" spans="1:9" x14ac:dyDescent="0.25">
      <c r="A41" s="7">
        <v>44341</v>
      </c>
      <c r="B41" s="6" t="s">
        <v>69</v>
      </c>
      <c r="C41" s="6" t="s">
        <v>79</v>
      </c>
      <c r="D41" s="6" t="s">
        <v>85</v>
      </c>
      <c r="E41" s="6">
        <v>24</v>
      </c>
      <c r="F41" s="6">
        <v>213</v>
      </c>
      <c r="G41" s="6">
        <f t="shared" si="0"/>
        <v>298</v>
      </c>
      <c r="H41" s="5">
        <f>tbl_Ventes[[#This Row],[PV]]*tbl_Ventes[[#This Row],[Qté]]</f>
        <v>7152</v>
      </c>
      <c r="I41" s="5">
        <f>tbl_Ventes[[#This Row],[Qté]]*(tbl_Ventes[[#This Row],[PV]]-tbl_Ventes[[#This Row],[PA]])</f>
        <v>2040</v>
      </c>
    </row>
    <row r="42" spans="1:9" x14ac:dyDescent="0.25">
      <c r="A42" s="7">
        <v>44348</v>
      </c>
      <c r="B42" s="6" t="s">
        <v>63</v>
      </c>
      <c r="C42" s="6" t="s">
        <v>81</v>
      </c>
      <c r="D42" s="6" t="s">
        <v>85</v>
      </c>
      <c r="E42" s="6">
        <v>10</v>
      </c>
      <c r="F42" s="6">
        <v>360</v>
      </c>
      <c r="G42" s="6">
        <f t="shared" si="0"/>
        <v>504</v>
      </c>
      <c r="H42" s="5">
        <f>tbl_Ventes[[#This Row],[PV]]*tbl_Ventes[[#This Row],[Qté]]</f>
        <v>5040</v>
      </c>
      <c r="I42" s="5">
        <f>tbl_Ventes[[#This Row],[Qté]]*(tbl_Ventes[[#This Row],[PV]]-tbl_Ventes[[#This Row],[PA]])</f>
        <v>1440</v>
      </c>
    </row>
    <row r="43" spans="1:9" x14ac:dyDescent="0.25">
      <c r="A43" s="7">
        <v>44348</v>
      </c>
      <c r="B43" s="6" t="s">
        <v>59</v>
      </c>
      <c r="C43" s="6" t="s">
        <v>79</v>
      </c>
      <c r="D43" s="6" t="s">
        <v>83</v>
      </c>
      <c r="E43" s="6">
        <v>21</v>
      </c>
      <c r="F43" s="6">
        <v>478</v>
      </c>
      <c r="G43" s="6">
        <f t="shared" si="0"/>
        <v>669</v>
      </c>
      <c r="H43" s="5">
        <f>tbl_Ventes[[#This Row],[PV]]*tbl_Ventes[[#This Row],[Qté]]</f>
        <v>14049</v>
      </c>
      <c r="I43" s="5">
        <f>tbl_Ventes[[#This Row],[Qté]]*(tbl_Ventes[[#This Row],[PV]]-tbl_Ventes[[#This Row],[PA]])</f>
        <v>4011</v>
      </c>
    </row>
    <row r="44" spans="1:9" x14ac:dyDescent="0.25">
      <c r="A44" s="7">
        <v>44355</v>
      </c>
      <c r="B44" s="6" t="s">
        <v>64</v>
      </c>
      <c r="C44" s="6" t="s">
        <v>80</v>
      </c>
      <c r="D44" s="6" t="s">
        <v>82</v>
      </c>
      <c r="E44" s="6">
        <v>13</v>
      </c>
      <c r="F44" s="6">
        <v>228</v>
      </c>
      <c r="G44" s="6">
        <f t="shared" si="0"/>
        <v>319</v>
      </c>
      <c r="H44" s="5">
        <f>tbl_Ventes[[#This Row],[PV]]*tbl_Ventes[[#This Row],[Qté]]</f>
        <v>4147</v>
      </c>
      <c r="I44" s="5">
        <f>tbl_Ventes[[#This Row],[Qté]]*(tbl_Ventes[[#This Row],[PV]]-tbl_Ventes[[#This Row],[PA]])</f>
        <v>1183</v>
      </c>
    </row>
    <row r="45" spans="1:9" x14ac:dyDescent="0.25">
      <c r="A45" s="7">
        <v>44355</v>
      </c>
      <c r="B45" s="6" t="s">
        <v>60</v>
      </c>
      <c r="C45" s="6" t="s">
        <v>79</v>
      </c>
      <c r="D45" s="6" t="s">
        <v>85</v>
      </c>
      <c r="E45" s="6">
        <v>20</v>
      </c>
      <c r="F45" s="6">
        <v>362</v>
      </c>
      <c r="G45" s="6">
        <f t="shared" si="0"/>
        <v>506</v>
      </c>
      <c r="H45" s="5">
        <f>tbl_Ventes[[#This Row],[PV]]*tbl_Ventes[[#This Row],[Qté]]</f>
        <v>10120</v>
      </c>
      <c r="I45" s="5">
        <f>tbl_Ventes[[#This Row],[Qté]]*(tbl_Ventes[[#This Row],[PV]]-tbl_Ventes[[#This Row],[PA]])</f>
        <v>2880</v>
      </c>
    </row>
    <row r="46" spans="1:9" x14ac:dyDescent="0.25">
      <c r="A46" s="7">
        <v>44362</v>
      </c>
      <c r="B46" s="6" t="s">
        <v>65</v>
      </c>
      <c r="C46" s="6" t="s">
        <v>78</v>
      </c>
      <c r="D46" s="6" t="s">
        <v>82</v>
      </c>
      <c r="E46" s="6">
        <v>5</v>
      </c>
      <c r="F46" s="6">
        <v>474</v>
      </c>
      <c r="G46" s="6">
        <f t="shared" si="0"/>
        <v>663</v>
      </c>
      <c r="H46" s="5">
        <f>tbl_Ventes[[#This Row],[PV]]*tbl_Ventes[[#This Row],[Qté]]</f>
        <v>3315</v>
      </c>
      <c r="I46" s="5">
        <f>tbl_Ventes[[#This Row],[Qté]]*(tbl_Ventes[[#This Row],[PV]]-tbl_Ventes[[#This Row],[PA]])</f>
        <v>945</v>
      </c>
    </row>
    <row r="47" spans="1:9" x14ac:dyDescent="0.25">
      <c r="A47" s="7">
        <v>44362</v>
      </c>
      <c r="B47" s="6" t="s">
        <v>61</v>
      </c>
      <c r="C47" s="6" t="s">
        <v>80</v>
      </c>
      <c r="D47" s="6" t="s">
        <v>96</v>
      </c>
      <c r="E47" s="6">
        <v>22</v>
      </c>
      <c r="F47" s="6">
        <v>434</v>
      </c>
      <c r="G47" s="6">
        <f t="shared" si="0"/>
        <v>607</v>
      </c>
      <c r="H47" s="5">
        <f>tbl_Ventes[[#This Row],[PV]]*tbl_Ventes[[#This Row],[Qté]]</f>
        <v>13354</v>
      </c>
      <c r="I47" s="5">
        <f>tbl_Ventes[[#This Row],[Qté]]*(tbl_Ventes[[#This Row],[PV]]-tbl_Ventes[[#This Row],[PA]])</f>
        <v>3806</v>
      </c>
    </row>
    <row r="48" spans="1:9" x14ac:dyDescent="0.25">
      <c r="A48" s="7">
        <v>44369</v>
      </c>
      <c r="B48" s="6" t="s">
        <v>66</v>
      </c>
      <c r="C48" s="6" t="s">
        <v>81</v>
      </c>
      <c r="D48" s="6" t="s">
        <v>85</v>
      </c>
      <c r="E48" s="6">
        <v>12</v>
      </c>
      <c r="F48" s="6">
        <v>206</v>
      </c>
      <c r="G48" s="6">
        <f t="shared" si="0"/>
        <v>288</v>
      </c>
      <c r="H48" s="5">
        <f>tbl_Ventes[[#This Row],[PV]]*tbl_Ventes[[#This Row],[Qté]]</f>
        <v>3456</v>
      </c>
      <c r="I48" s="5">
        <f>tbl_Ventes[[#This Row],[Qté]]*(tbl_Ventes[[#This Row],[PV]]-tbl_Ventes[[#This Row],[PA]])</f>
        <v>984</v>
      </c>
    </row>
    <row r="49" spans="1:9" x14ac:dyDescent="0.25">
      <c r="A49" s="7">
        <v>44369</v>
      </c>
      <c r="B49" s="6" t="s">
        <v>62</v>
      </c>
      <c r="C49" s="6" t="s">
        <v>80</v>
      </c>
      <c r="D49" s="6" t="s">
        <v>83</v>
      </c>
      <c r="E49" s="6">
        <v>14</v>
      </c>
      <c r="F49" s="6">
        <v>407</v>
      </c>
      <c r="G49" s="6">
        <f t="shared" si="0"/>
        <v>569</v>
      </c>
      <c r="H49" s="5">
        <f>tbl_Ventes[[#This Row],[PV]]*tbl_Ventes[[#This Row],[Qté]]</f>
        <v>7966</v>
      </c>
      <c r="I49" s="5">
        <f>tbl_Ventes[[#This Row],[Qté]]*(tbl_Ventes[[#This Row],[PV]]-tbl_Ventes[[#This Row],[PA]])</f>
        <v>2268</v>
      </c>
    </row>
    <row r="50" spans="1:9" x14ac:dyDescent="0.25">
      <c r="A50" s="7">
        <v>44376</v>
      </c>
      <c r="B50" s="6" t="s">
        <v>67</v>
      </c>
      <c r="C50" s="6" t="s">
        <v>81</v>
      </c>
      <c r="D50" s="6" t="s">
        <v>85</v>
      </c>
      <c r="E50" s="6">
        <v>11</v>
      </c>
      <c r="F50" s="6">
        <v>278</v>
      </c>
      <c r="G50" s="6">
        <f t="shared" si="0"/>
        <v>389</v>
      </c>
      <c r="H50" s="5">
        <v>1021</v>
      </c>
      <c r="I50" s="5">
        <f>tbl_Ventes[[#This Row],[Qté]]*(tbl_Ventes[[#This Row],[PV]]-tbl_Ventes[[#This Row],[PA]])</f>
        <v>1221</v>
      </c>
    </row>
    <row r="51" spans="1:9" x14ac:dyDescent="0.25">
      <c r="A51" s="7">
        <v>44376</v>
      </c>
      <c r="B51" s="6" t="s">
        <v>70</v>
      </c>
      <c r="C51" s="6" t="s">
        <v>78</v>
      </c>
      <c r="D51" s="6" t="s">
        <v>84</v>
      </c>
      <c r="E51" s="6">
        <v>5</v>
      </c>
      <c r="F51" s="6">
        <v>265</v>
      </c>
      <c r="G51" s="6">
        <f t="shared" si="0"/>
        <v>371</v>
      </c>
      <c r="H51" s="5">
        <f>tbl_Ventes[[#This Row],[PV]]*tbl_Ventes[[#This Row],[Qté]]</f>
        <v>1855</v>
      </c>
      <c r="I51" s="5">
        <f>tbl_Ventes[[#This Row],[Qté]]*(tbl_Ventes[[#This Row],[PV]]-tbl_Ventes[[#This Row],[PA]])</f>
        <v>530</v>
      </c>
    </row>
    <row r="52" spans="1:9" x14ac:dyDescent="0.25">
      <c r="A52" s="7">
        <v>44383</v>
      </c>
      <c r="B52" s="6" t="s">
        <v>68</v>
      </c>
      <c r="C52" s="6" t="s">
        <v>81</v>
      </c>
      <c r="D52" s="6" t="s">
        <v>82</v>
      </c>
      <c r="E52" s="6">
        <v>5</v>
      </c>
      <c r="F52" s="6">
        <v>255</v>
      </c>
      <c r="G52" s="6">
        <f t="shared" si="0"/>
        <v>357</v>
      </c>
      <c r="H52" s="5">
        <f>tbl_Ventes[[#This Row],[PV]]*tbl_Ventes[[#This Row],[Qté]]</f>
        <v>1785</v>
      </c>
      <c r="I52" s="5">
        <f>tbl_Ventes[[#This Row],[Qté]]*(tbl_Ventes[[#This Row],[PV]]-tbl_Ventes[[#This Row],[PA]])</f>
        <v>510</v>
      </c>
    </row>
    <row r="53" spans="1:9" x14ac:dyDescent="0.25">
      <c r="A53" s="7">
        <v>44383</v>
      </c>
      <c r="B53" s="6" t="s">
        <v>71</v>
      </c>
      <c r="C53" s="6" t="s">
        <v>78</v>
      </c>
      <c r="D53" s="6" t="s">
        <v>84</v>
      </c>
      <c r="E53" s="6">
        <v>2</v>
      </c>
      <c r="F53" s="6">
        <v>427</v>
      </c>
      <c r="G53" s="6">
        <f t="shared" si="0"/>
        <v>597</v>
      </c>
      <c r="H53" s="5">
        <f>tbl_Ventes[[#This Row],[PV]]*tbl_Ventes[[#This Row],[Qté]]</f>
        <v>1194</v>
      </c>
      <c r="I53" s="5">
        <f>tbl_Ventes[[#This Row],[Qté]]*(tbl_Ventes[[#This Row],[PV]]-tbl_Ventes[[#This Row],[PA]])</f>
        <v>340</v>
      </c>
    </row>
    <row r="54" spans="1:9" x14ac:dyDescent="0.25">
      <c r="A54" s="7">
        <v>44390</v>
      </c>
      <c r="B54" s="6" t="s">
        <v>58</v>
      </c>
      <c r="C54" s="6" t="s">
        <v>79</v>
      </c>
      <c r="D54" s="6" t="s">
        <v>84</v>
      </c>
      <c r="E54" s="6">
        <v>3</v>
      </c>
      <c r="F54" s="6">
        <v>472</v>
      </c>
      <c r="G54" s="6">
        <f t="shared" si="0"/>
        <v>660</v>
      </c>
      <c r="H54" s="5">
        <f>tbl_Ventes[[#This Row],[PV]]*tbl_Ventes[[#This Row],[Qté]]</f>
        <v>1980</v>
      </c>
      <c r="I54" s="5">
        <f>tbl_Ventes[[#This Row],[Qté]]*(tbl_Ventes[[#This Row],[PV]]-tbl_Ventes[[#This Row],[PA]])</f>
        <v>564</v>
      </c>
    </row>
    <row r="55" spans="1:9" x14ac:dyDescent="0.25">
      <c r="A55" s="7">
        <v>44390</v>
      </c>
      <c r="B55" s="6" t="s">
        <v>72</v>
      </c>
      <c r="C55" s="6" t="s">
        <v>79</v>
      </c>
      <c r="D55" s="6" t="s">
        <v>84</v>
      </c>
      <c r="E55" s="6">
        <v>5</v>
      </c>
      <c r="F55" s="6">
        <v>224</v>
      </c>
      <c r="G55" s="6">
        <f t="shared" si="0"/>
        <v>313</v>
      </c>
      <c r="H55" s="5">
        <f>tbl_Ventes[[#This Row],[PV]]*tbl_Ventes[[#This Row],[Qté]]</f>
        <v>1565</v>
      </c>
      <c r="I55" s="5">
        <f>tbl_Ventes[[#This Row],[Qté]]*(tbl_Ventes[[#This Row],[PV]]-tbl_Ventes[[#This Row],[PA]])</f>
        <v>445</v>
      </c>
    </row>
    <row r="56" spans="1:9" x14ac:dyDescent="0.25">
      <c r="A56" s="7">
        <v>44397</v>
      </c>
      <c r="B56" s="6" t="s">
        <v>69</v>
      </c>
      <c r="C56" s="6" t="s">
        <v>78</v>
      </c>
      <c r="D56" s="6" t="s">
        <v>82</v>
      </c>
      <c r="E56" s="6">
        <v>9</v>
      </c>
      <c r="F56" s="6">
        <v>213</v>
      </c>
      <c r="G56" s="6">
        <f t="shared" si="0"/>
        <v>298</v>
      </c>
      <c r="H56" s="5">
        <f>tbl_Ventes[[#This Row],[PV]]*tbl_Ventes[[#This Row],[Qté]]</f>
        <v>2682</v>
      </c>
      <c r="I56" s="5">
        <f>tbl_Ventes[[#This Row],[Qté]]*(tbl_Ventes[[#This Row],[PV]]-tbl_Ventes[[#This Row],[PA]])</f>
        <v>765</v>
      </c>
    </row>
    <row r="57" spans="1:9" x14ac:dyDescent="0.25">
      <c r="A57" s="7">
        <v>44397</v>
      </c>
      <c r="B57" s="6" t="s">
        <v>73</v>
      </c>
      <c r="C57" s="6" t="s">
        <v>80</v>
      </c>
      <c r="D57" s="6" t="s">
        <v>82</v>
      </c>
      <c r="E57" s="6">
        <v>1</v>
      </c>
      <c r="F57" s="6">
        <v>270</v>
      </c>
      <c r="G57" s="6">
        <f t="shared" si="0"/>
        <v>378</v>
      </c>
      <c r="H57" s="5">
        <f>tbl_Ventes[[#This Row],[PV]]*tbl_Ventes[[#This Row],[Qté]]</f>
        <v>378</v>
      </c>
      <c r="I57" s="5">
        <f>tbl_Ventes[[#This Row],[Qté]]*(tbl_Ventes[[#This Row],[PV]]-tbl_Ventes[[#This Row],[PA]])</f>
        <v>108</v>
      </c>
    </row>
    <row r="58" spans="1:9" x14ac:dyDescent="0.25">
      <c r="A58" s="7">
        <v>44404</v>
      </c>
      <c r="B58" s="6" t="s">
        <v>59</v>
      </c>
      <c r="C58" s="6" t="s">
        <v>78</v>
      </c>
      <c r="D58" s="6" t="s">
        <v>85</v>
      </c>
      <c r="E58" s="6">
        <v>3</v>
      </c>
      <c r="F58" s="6">
        <v>478</v>
      </c>
      <c r="G58" s="6">
        <f t="shared" si="0"/>
        <v>669</v>
      </c>
      <c r="H58" s="5">
        <f>tbl_Ventes[[#This Row],[PV]]*tbl_Ventes[[#This Row],[Qté]]</f>
        <v>2007</v>
      </c>
      <c r="I58" s="5">
        <f>tbl_Ventes[[#This Row],[Qté]]*(tbl_Ventes[[#This Row],[PV]]-tbl_Ventes[[#This Row],[PA]])</f>
        <v>573</v>
      </c>
    </row>
    <row r="59" spans="1:9" x14ac:dyDescent="0.25">
      <c r="A59" s="7">
        <v>44404</v>
      </c>
      <c r="B59" s="6" t="s">
        <v>74</v>
      </c>
      <c r="C59" s="6" t="s">
        <v>78</v>
      </c>
      <c r="D59" s="6" t="s">
        <v>85</v>
      </c>
      <c r="E59" s="6">
        <v>9</v>
      </c>
      <c r="F59" s="6">
        <v>385</v>
      </c>
      <c r="G59" s="6">
        <f t="shared" si="0"/>
        <v>539</v>
      </c>
      <c r="H59" s="5">
        <f>tbl_Ventes[[#This Row],[PV]]*tbl_Ventes[[#This Row],[Qté]]</f>
        <v>4851</v>
      </c>
      <c r="I59" s="5">
        <f>tbl_Ventes[[#This Row],[Qté]]*(tbl_Ventes[[#This Row],[PV]]-tbl_Ventes[[#This Row],[PA]])</f>
        <v>1386</v>
      </c>
    </row>
    <row r="60" spans="1:9" x14ac:dyDescent="0.25">
      <c r="A60" s="7">
        <v>44411</v>
      </c>
      <c r="B60" s="6" t="s">
        <v>60</v>
      </c>
      <c r="C60" s="6" t="s">
        <v>81</v>
      </c>
      <c r="D60" s="6" t="s">
        <v>84</v>
      </c>
      <c r="E60" s="6">
        <v>3</v>
      </c>
      <c r="F60" s="6">
        <v>362</v>
      </c>
      <c r="G60" s="6">
        <f t="shared" si="0"/>
        <v>506</v>
      </c>
      <c r="H60" s="5">
        <f>tbl_Ventes[[#This Row],[PV]]*tbl_Ventes[[#This Row],[Qté]]</f>
        <v>1518</v>
      </c>
      <c r="I60" s="5">
        <f>tbl_Ventes[[#This Row],[Qté]]*(tbl_Ventes[[#This Row],[PV]]-tbl_Ventes[[#This Row],[PA]])</f>
        <v>432</v>
      </c>
    </row>
    <row r="61" spans="1:9" x14ac:dyDescent="0.25">
      <c r="A61" s="7">
        <v>44411</v>
      </c>
      <c r="B61" s="6" t="s">
        <v>75</v>
      </c>
      <c r="C61" s="6" t="s">
        <v>79</v>
      </c>
      <c r="D61" s="6" t="s">
        <v>84</v>
      </c>
      <c r="E61" s="6">
        <v>4</v>
      </c>
      <c r="F61" s="6">
        <v>105</v>
      </c>
      <c r="G61" s="6">
        <f t="shared" si="0"/>
        <v>147</v>
      </c>
      <c r="H61" s="5">
        <f>tbl_Ventes[[#This Row],[PV]]*tbl_Ventes[[#This Row],[Qté]]</f>
        <v>588</v>
      </c>
      <c r="I61" s="5">
        <f>tbl_Ventes[[#This Row],[Qté]]*(tbl_Ventes[[#This Row],[PV]]-tbl_Ventes[[#This Row],[PA]])</f>
        <v>168</v>
      </c>
    </row>
    <row r="62" spans="1:9" x14ac:dyDescent="0.25">
      <c r="A62" s="7">
        <v>44418</v>
      </c>
      <c r="B62" s="6" t="s">
        <v>61</v>
      </c>
      <c r="C62" s="6" t="s">
        <v>81</v>
      </c>
      <c r="D62" s="6" t="s">
        <v>83</v>
      </c>
      <c r="E62" s="6">
        <v>7</v>
      </c>
      <c r="F62" s="6">
        <v>434</v>
      </c>
      <c r="G62" s="6">
        <f t="shared" si="0"/>
        <v>607</v>
      </c>
      <c r="H62" s="5">
        <f>tbl_Ventes[[#This Row],[PV]]*tbl_Ventes[[#This Row],[Qté]]</f>
        <v>4249</v>
      </c>
      <c r="I62" s="5">
        <f>tbl_Ventes[[#This Row],[Qté]]*(tbl_Ventes[[#This Row],[PV]]-tbl_Ventes[[#This Row],[PA]])</f>
        <v>1211</v>
      </c>
    </row>
    <row r="63" spans="1:9" x14ac:dyDescent="0.25">
      <c r="A63" s="7">
        <v>44418</v>
      </c>
      <c r="B63" s="6" t="s">
        <v>76</v>
      </c>
      <c r="C63" s="6" t="s">
        <v>79</v>
      </c>
      <c r="D63" s="6" t="s">
        <v>96</v>
      </c>
      <c r="E63" s="6">
        <v>8</v>
      </c>
      <c r="F63" s="6">
        <v>382</v>
      </c>
      <c r="G63" s="6">
        <f t="shared" si="0"/>
        <v>534</v>
      </c>
      <c r="H63" s="5">
        <f>tbl_Ventes[[#This Row],[PV]]*tbl_Ventes[[#This Row],[Qté]]</f>
        <v>4272</v>
      </c>
      <c r="I63" s="5">
        <f>tbl_Ventes[[#This Row],[Qté]]*(tbl_Ventes[[#This Row],[PV]]-tbl_Ventes[[#This Row],[PA]])</f>
        <v>1216</v>
      </c>
    </row>
    <row r="64" spans="1:9" x14ac:dyDescent="0.25">
      <c r="A64" s="7">
        <v>44425</v>
      </c>
      <c r="B64" s="6" t="s">
        <v>77</v>
      </c>
      <c r="C64" s="6" t="s">
        <v>79</v>
      </c>
      <c r="D64" s="6" t="s">
        <v>82</v>
      </c>
      <c r="E64" s="6">
        <v>1</v>
      </c>
      <c r="F64" s="6">
        <v>300</v>
      </c>
      <c r="G64" s="6">
        <f t="shared" si="0"/>
        <v>420</v>
      </c>
      <c r="H64" s="5">
        <f>tbl_Ventes[[#This Row],[PV]]*tbl_Ventes[[#This Row],[Qté]]</f>
        <v>420</v>
      </c>
      <c r="I64" s="5">
        <f>tbl_Ventes[[#This Row],[Qté]]*(tbl_Ventes[[#This Row],[PV]]-tbl_Ventes[[#This Row],[PA]])</f>
        <v>120</v>
      </c>
    </row>
    <row r="65" spans="1:9" x14ac:dyDescent="0.25">
      <c r="A65" s="7">
        <v>44432</v>
      </c>
      <c r="B65" s="6" t="s">
        <v>70</v>
      </c>
      <c r="C65" s="6" t="s">
        <v>79</v>
      </c>
      <c r="D65" s="6" t="s">
        <v>96</v>
      </c>
      <c r="E65" s="6">
        <v>6</v>
      </c>
      <c r="F65" s="6">
        <v>265</v>
      </c>
      <c r="G65" s="6">
        <f t="shared" si="0"/>
        <v>371</v>
      </c>
      <c r="H65" s="5">
        <f>tbl_Ventes[[#This Row],[PV]]*tbl_Ventes[[#This Row],[Qté]]</f>
        <v>2226</v>
      </c>
      <c r="I65" s="5">
        <f>tbl_Ventes[[#This Row],[Qté]]*(tbl_Ventes[[#This Row],[PV]]-tbl_Ventes[[#This Row],[PA]])</f>
        <v>636</v>
      </c>
    </row>
    <row r="66" spans="1:9" x14ac:dyDescent="0.25">
      <c r="A66" s="7">
        <v>44432</v>
      </c>
      <c r="B66" s="6" t="s">
        <v>60</v>
      </c>
      <c r="C66" s="6" t="s">
        <v>80</v>
      </c>
      <c r="D66" s="6" t="s">
        <v>85</v>
      </c>
      <c r="E66" s="6">
        <v>2</v>
      </c>
      <c r="F66" s="6">
        <v>362</v>
      </c>
      <c r="G66" s="6">
        <f t="shared" ref="G66:G129" si="1">INT(F66*1.4)</f>
        <v>506</v>
      </c>
      <c r="H66" s="5">
        <f>tbl_Ventes[[#This Row],[PV]]*tbl_Ventes[[#This Row],[Qté]]</f>
        <v>1012</v>
      </c>
      <c r="I66" s="5">
        <f>tbl_Ventes[[#This Row],[Qté]]*(tbl_Ventes[[#This Row],[PV]]-tbl_Ventes[[#This Row],[PA]])</f>
        <v>288</v>
      </c>
    </row>
    <row r="67" spans="1:9" x14ac:dyDescent="0.25">
      <c r="A67" s="7">
        <v>44439</v>
      </c>
      <c r="B67" s="6" t="s">
        <v>71</v>
      </c>
      <c r="C67" s="6" t="s">
        <v>81</v>
      </c>
      <c r="D67" s="6" t="s">
        <v>82</v>
      </c>
      <c r="E67" s="6">
        <v>3</v>
      </c>
      <c r="F67" s="6">
        <v>427</v>
      </c>
      <c r="G67" s="6">
        <f t="shared" si="1"/>
        <v>597</v>
      </c>
      <c r="H67" s="5">
        <f>tbl_Ventes[[#This Row],[PV]]*tbl_Ventes[[#This Row],[Qté]]</f>
        <v>1791</v>
      </c>
      <c r="I67" s="5">
        <f>tbl_Ventes[[#This Row],[Qté]]*(tbl_Ventes[[#This Row],[PV]]-tbl_Ventes[[#This Row],[PA]])</f>
        <v>510</v>
      </c>
    </row>
    <row r="68" spans="1:9" x14ac:dyDescent="0.25">
      <c r="A68" s="7">
        <v>44439</v>
      </c>
      <c r="B68" s="6" t="s">
        <v>61</v>
      </c>
      <c r="C68" s="6" t="s">
        <v>81</v>
      </c>
      <c r="D68" s="6" t="s">
        <v>96</v>
      </c>
      <c r="E68" s="6">
        <v>5</v>
      </c>
      <c r="F68" s="6">
        <v>434</v>
      </c>
      <c r="G68" s="6">
        <f t="shared" si="1"/>
        <v>607</v>
      </c>
      <c r="H68" s="5">
        <f>tbl_Ventes[[#This Row],[PV]]*tbl_Ventes[[#This Row],[Qté]]</f>
        <v>3035</v>
      </c>
      <c r="I68" s="5">
        <f>tbl_Ventes[[#This Row],[Qté]]*(tbl_Ventes[[#This Row],[PV]]-tbl_Ventes[[#This Row],[PA]])</f>
        <v>865</v>
      </c>
    </row>
    <row r="69" spans="1:9" x14ac:dyDescent="0.25">
      <c r="A69" s="7">
        <v>44446</v>
      </c>
      <c r="B69" s="6" t="s">
        <v>72</v>
      </c>
      <c r="C69" s="6" t="s">
        <v>78</v>
      </c>
      <c r="D69" s="6" t="s">
        <v>82</v>
      </c>
      <c r="E69" s="6">
        <v>3</v>
      </c>
      <c r="F69" s="6">
        <v>224</v>
      </c>
      <c r="G69" s="6">
        <f t="shared" si="1"/>
        <v>313</v>
      </c>
      <c r="H69" s="5">
        <f>tbl_Ventes[[#This Row],[PV]]*tbl_Ventes[[#This Row],[Qté]]</f>
        <v>939</v>
      </c>
      <c r="I69" s="5">
        <f>tbl_Ventes[[#This Row],[Qté]]*(tbl_Ventes[[#This Row],[PV]]-tbl_Ventes[[#This Row],[PA]])</f>
        <v>267</v>
      </c>
    </row>
    <row r="70" spans="1:9" x14ac:dyDescent="0.25">
      <c r="A70" s="7">
        <v>44453</v>
      </c>
      <c r="B70" s="6" t="s">
        <v>73</v>
      </c>
      <c r="C70" s="6" t="s">
        <v>78</v>
      </c>
      <c r="D70" s="6" t="s">
        <v>96</v>
      </c>
      <c r="E70" s="6">
        <v>6</v>
      </c>
      <c r="F70" s="6">
        <v>270</v>
      </c>
      <c r="G70" s="6">
        <f t="shared" si="1"/>
        <v>378</v>
      </c>
      <c r="H70" s="5">
        <f>tbl_Ventes[[#This Row],[PV]]*tbl_Ventes[[#This Row],[Qté]]</f>
        <v>2268</v>
      </c>
      <c r="I70" s="5">
        <f>tbl_Ventes[[#This Row],[Qté]]*(tbl_Ventes[[#This Row],[PV]]-tbl_Ventes[[#This Row],[PA]])</f>
        <v>648</v>
      </c>
    </row>
    <row r="71" spans="1:9" x14ac:dyDescent="0.25">
      <c r="A71" s="7">
        <v>44460</v>
      </c>
      <c r="B71" s="6" t="s">
        <v>74</v>
      </c>
      <c r="C71" s="6" t="s">
        <v>79</v>
      </c>
      <c r="D71" s="6" t="s">
        <v>84</v>
      </c>
      <c r="E71" s="6">
        <v>11</v>
      </c>
      <c r="F71" s="6">
        <v>385</v>
      </c>
      <c r="G71" s="6">
        <f t="shared" si="1"/>
        <v>539</v>
      </c>
      <c r="H71" s="5">
        <f>tbl_Ventes[[#This Row],[PV]]*tbl_Ventes[[#This Row],[Qté]]</f>
        <v>5929</v>
      </c>
      <c r="I71" s="5">
        <f>tbl_Ventes[[#This Row],[Qté]]*(tbl_Ventes[[#This Row],[PV]]-tbl_Ventes[[#This Row],[PA]])</f>
        <v>1694</v>
      </c>
    </row>
    <row r="72" spans="1:9" x14ac:dyDescent="0.25">
      <c r="A72" s="7">
        <v>44467</v>
      </c>
      <c r="B72" s="6" t="s">
        <v>75</v>
      </c>
      <c r="C72" s="6" t="s">
        <v>79</v>
      </c>
      <c r="D72" s="6" t="s">
        <v>96</v>
      </c>
      <c r="E72" s="6">
        <v>24</v>
      </c>
      <c r="F72" s="6">
        <v>105</v>
      </c>
      <c r="G72" s="6">
        <f t="shared" si="1"/>
        <v>147</v>
      </c>
      <c r="H72" s="5">
        <f>tbl_Ventes[[#This Row],[PV]]*tbl_Ventes[[#This Row],[Qté]]</f>
        <v>3528</v>
      </c>
      <c r="I72" s="5">
        <f>tbl_Ventes[[#This Row],[Qté]]*(tbl_Ventes[[#This Row],[PV]]-tbl_Ventes[[#This Row],[PA]])</f>
        <v>1008</v>
      </c>
    </row>
    <row r="73" spans="1:9" x14ac:dyDescent="0.25">
      <c r="A73" s="7">
        <v>44474</v>
      </c>
      <c r="B73" s="6" t="s">
        <v>76</v>
      </c>
      <c r="C73" s="6" t="s">
        <v>78</v>
      </c>
      <c r="D73" s="6" t="s">
        <v>84</v>
      </c>
      <c r="E73" s="6">
        <v>7</v>
      </c>
      <c r="F73" s="6">
        <v>382</v>
      </c>
      <c r="G73" s="6">
        <f t="shared" si="1"/>
        <v>534</v>
      </c>
      <c r="H73" s="5">
        <f>tbl_Ventes[[#This Row],[PV]]*tbl_Ventes[[#This Row],[Qté]]</f>
        <v>3738</v>
      </c>
      <c r="I73" s="5">
        <f>tbl_Ventes[[#This Row],[Qté]]*(tbl_Ventes[[#This Row],[PV]]-tbl_Ventes[[#This Row],[PA]])</f>
        <v>1064</v>
      </c>
    </row>
    <row r="74" spans="1:9" x14ac:dyDescent="0.25">
      <c r="A74" s="7">
        <v>44481</v>
      </c>
      <c r="B74" s="6" t="s">
        <v>77</v>
      </c>
      <c r="C74" s="6" t="s">
        <v>79</v>
      </c>
      <c r="D74" s="6" t="s">
        <v>96</v>
      </c>
      <c r="E74" s="6">
        <v>13</v>
      </c>
      <c r="F74" s="6">
        <v>300</v>
      </c>
      <c r="G74" s="6">
        <f t="shared" si="1"/>
        <v>420</v>
      </c>
      <c r="H74" s="5">
        <f>tbl_Ventes[[#This Row],[PV]]*tbl_Ventes[[#This Row],[Qté]]</f>
        <v>5460</v>
      </c>
      <c r="I74" s="5">
        <f>tbl_Ventes[[#This Row],[Qté]]*(tbl_Ventes[[#This Row],[PV]]-tbl_Ventes[[#This Row],[PA]])</f>
        <v>1560</v>
      </c>
    </row>
    <row r="75" spans="1:9" x14ac:dyDescent="0.25">
      <c r="A75" s="7">
        <v>44507</v>
      </c>
      <c r="B75" s="6" t="s">
        <v>62</v>
      </c>
      <c r="C75" s="6" t="s">
        <v>80</v>
      </c>
      <c r="D75" s="6" t="s">
        <v>83</v>
      </c>
      <c r="E75" s="6">
        <v>24</v>
      </c>
      <c r="F75" s="6">
        <v>407</v>
      </c>
      <c r="G75" s="6">
        <f t="shared" si="1"/>
        <v>569</v>
      </c>
      <c r="H75" s="5">
        <f>tbl_Ventes[[#This Row],[PV]]*tbl_Ventes[[#This Row],[Qté]]</f>
        <v>13656</v>
      </c>
      <c r="I75" s="5">
        <f>tbl_Ventes[[#This Row],[Qté]]*(tbl_Ventes[[#This Row],[PV]]-tbl_Ventes[[#This Row],[PA]])</f>
        <v>3888</v>
      </c>
    </row>
    <row r="76" spans="1:9" x14ac:dyDescent="0.25">
      <c r="A76" s="7">
        <v>44514</v>
      </c>
      <c r="B76" s="6" t="s">
        <v>70</v>
      </c>
      <c r="C76" s="6" t="s">
        <v>78</v>
      </c>
      <c r="D76" s="6" t="s">
        <v>85</v>
      </c>
      <c r="E76" s="6">
        <v>21</v>
      </c>
      <c r="F76" s="6">
        <v>265</v>
      </c>
      <c r="G76" s="6">
        <f t="shared" si="1"/>
        <v>371</v>
      </c>
      <c r="H76" s="5">
        <f>tbl_Ventes[[#This Row],[PV]]*tbl_Ventes[[#This Row],[Qté]]</f>
        <v>7791</v>
      </c>
      <c r="I76" s="5">
        <f>tbl_Ventes[[#This Row],[Qté]]*(tbl_Ventes[[#This Row],[PV]]-tbl_Ventes[[#This Row],[PA]])</f>
        <v>2226</v>
      </c>
    </row>
    <row r="77" spans="1:9" x14ac:dyDescent="0.25">
      <c r="A77" s="7">
        <v>44521</v>
      </c>
      <c r="B77" s="6" t="s">
        <v>71</v>
      </c>
      <c r="C77" s="6" t="s">
        <v>78</v>
      </c>
      <c r="D77" s="6" t="s">
        <v>84</v>
      </c>
      <c r="E77" s="6">
        <v>20</v>
      </c>
      <c r="F77" s="6">
        <v>427</v>
      </c>
      <c r="G77" s="6">
        <f t="shared" si="1"/>
        <v>597</v>
      </c>
      <c r="H77" s="5">
        <f>tbl_Ventes[[#This Row],[PV]]*tbl_Ventes[[#This Row],[Qté]]</f>
        <v>11940</v>
      </c>
      <c r="I77" s="5">
        <f>tbl_Ventes[[#This Row],[Qté]]*(tbl_Ventes[[#This Row],[PV]]-tbl_Ventes[[#This Row],[PA]])</f>
        <v>3400</v>
      </c>
    </row>
    <row r="78" spans="1:9" x14ac:dyDescent="0.25">
      <c r="A78" s="7">
        <v>44528</v>
      </c>
      <c r="B78" s="6" t="s">
        <v>72</v>
      </c>
      <c r="C78" s="6" t="s">
        <v>81</v>
      </c>
      <c r="D78" s="6" t="s">
        <v>83</v>
      </c>
      <c r="E78" s="6">
        <v>22</v>
      </c>
      <c r="F78" s="6">
        <v>224</v>
      </c>
      <c r="G78" s="6">
        <f t="shared" si="1"/>
        <v>313</v>
      </c>
      <c r="H78" s="5">
        <f>tbl_Ventes[[#This Row],[PV]]*tbl_Ventes[[#This Row],[Qté]]</f>
        <v>6886</v>
      </c>
      <c r="I78" s="5">
        <f>tbl_Ventes[[#This Row],[Qté]]*(tbl_Ventes[[#This Row],[PV]]-tbl_Ventes[[#This Row],[PA]])</f>
        <v>1958</v>
      </c>
    </row>
    <row r="79" spans="1:9" x14ac:dyDescent="0.25">
      <c r="A79" s="7">
        <v>44535</v>
      </c>
      <c r="B79" s="6" t="s">
        <v>73</v>
      </c>
      <c r="C79" s="6" t="s">
        <v>78</v>
      </c>
      <c r="D79" s="6" t="s">
        <v>85</v>
      </c>
      <c r="E79" s="6">
        <v>14</v>
      </c>
      <c r="F79" s="6">
        <v>270</v>
      </c>
      <c r="G79" s="6">
        <f t="shared" si="1"/>
        <v>378</v>
      </c>
      <c r="H79" s="5">
        <f>tbl_Ventes[[#This Row],[PV]]*tbl_Ventes[[#This Row],[Qté]]</f>
        <v>5292</v>
      </c>
      <c r="I79" s="5">
        <f>tbl_Ventes[[#This Row],[Qté]]*(tbl_Ventes[[#This Row],[PV]]-tbl_Ventes[[#This Row],[PA]])</f>
        <v>1512</v>
      </c>
    </row>
    <row r="80" spans="1:9" x14ac:dyDescent="0.25">
      <c r="A80" s="7">
        <v>44535</v>
      </c>
      <c r="B80" s="6" t="s">
        <v>74</v>
      </c>
      <c r="C80" s="6" t="s">
        <v>80</v>
      </c>
      <c r="D80" s="6" t="s">
        <v>82</v>
      </c>
      <c r="E80" s="6">
        <v>5</v>
      </c>
      <c r="F80" s="6">
        <v>385</v>
      </c>
      <c r="G80" s="6">
        <f t="shared" si="1"/>
        <v>539</v>
      </c>
      <c r="H80" s="5">
        <f>tbl_Ventes[[#This Row],[PV]]*tbl_Ventes[[#This Row],[Qté]]</f>
        <v>2695</v>
      </c>
      <c r="I80" s="5">
        <f>tbl_Ventes[[#This Row],[Qté]]*(tbl_Ventes[[#This Row],[PV]]-tbl_Ventes[[#This Row],[PA]])</f>
        <v>770</v>
      </c>
    </row>
    <row r="81" spans="1:9" x14ac:dyDescent="0.25">
      <c r="A81" s="7">
        <v>44540</v>
      </c>
      <c r="B81" s="6" t="s">
        <v>75</v>
      </c>
      <c r="C81" s="6" t="s">
        <v>79</v>
      </c>
      <c r="D81" s="6" t="s">
        <v>85</v>
      </c>
      <c r="E81" s="6">
        <v>12</v>
      </c>
      <c r="F81" s="6">
        <v>105</v>
      </c>
      <c r="G81" s="6">
        <f t="shared" si="1"/>
        <v>147</v>
      </c>
      <c r="H81" s="5">
        <f>tbl_Ventes[[#This Row],[PV]]*tbl_Ventes[[#This Row],[Qté]]</f>
        <v>1764</v>
      </c>
      <c r="I81" s="5">
        <f>tbl_Ventes[[#This Row],[Qté]]*(tbl_Ventes[[#This Row],[PV]]-tbl_Ventes[[#This Row],[PA]])</f>
        <v>504</v>
      </c>
    </row>
    <row r="82" spans="1:9" x14ac:dyDescent="0.25">
      <c r="A82" s="7">
        <v>44547</v>
      </c>
      <c r="B82" s="6" t="s">
        <v>62</v>
      </c>
      <c r="C82" s="6" t="s">
        <v>78</v>
      </c>
      <c r="D82" s="6" t="s">
        <v>96</v>
      </c>
      <c r="E82" s="6">
        <v>20</v>
      </c>
      <c r="F82" s="6">
        <v>407</v>
      </c>
      <c r="G82" s="6">
        <f t="shared" si="1"/>
        <v>569</v>
      </c>
      <c r="H82" s="5">
        <f>tbl_Ventes[[#This Row],[PV]]*tbl_Ventes[[#This Row],[Qté]]</f>
        <v>11380</v>
      </c>
      <c r="I82" s="5">
        <f>tbl_Ventes[[#This Row],[Qté]]*(tbl_Ventes[[#This Row],[PV]]-tbl_Ventes[[#This Row],[PA]])</f>
        <v>3240</v>
      </c>
    </row>
    <row r="83" spans="1:9" x14ac:dyDescent="0.25">
      <c r="A83" s="7">
        <v>44572</v>
      </c>
      <c r="B83" s="6" t="s">
        <v>63</v>
      </c>
      <c r="C83" s="6" t="s">
        <v>80</v>
      </c>
      <c r="D83" s="6" t="s">
        <v>83</v>
      </c>
      <c r="E83" s="6">
        <v>19</v>
      </c>
      <c r="F83" s="6">
        <v>360</v>
      </c>
      <c r="G83" s="6">
        <f t="shared" si="1"/>
        <v>504</v>
      </c>
      <c r="H83" s="5">
        <f>tbl_Ventes[[#This Row],[PV]]*tbl_Ventes[[#This Row],[Qté]]</f>
        <v>9576</v>
      </c>
      <c r="I83" s="5">
        <f>tbl_Ventes[[#This Row],[Qté]]*(tbl_Ventes[[#This Row],[PV]]-tbl_Ventes[[#This Row],[PA]])</f>
        <v>2736</v>
      </c>
    </row>
    <row r="84" spans="1:9" x14ac:dyDescent="0.25">
      <c r="A84" s="7">
        <v>44578</v>
      </c>
      <c r="B84" s="6" t="s">
        <v>64</v>
      </c>
      <c r="C84" s="6" t="s">
        <v>78</v>
      </c>
      <c r="D84" s="6" t="s">
        <v>83</v>
      </c>
      <c r="E84" s="6">
        <v>10</v>
      </c>
      <c r="F84" s="6">
        <v>228</v>
      </c>
      <c r="G84" s="6">
        <f t="shared" si="1"/>
        <v>319</v>
      </c>
      <c r="H84" s="5">
        <f>tbl_Ventes[[#This Row],[PV]]*tbl_Ventes[[#This Row],[Qté]]</f>
        <v>3190</v>
      </c>
      <c r="I84" s="5">
        <f>tbl_Ventes[[#This Row],[Qté]]*(tbl_Ventes[[#This Row],[PV]]-tbl_Ventes[[#This Row],[PA]])</f>
        <v>910</v>
      </c>
    </row>
    <row r="85" spans="1:9" x14ac:dyDescent="0.25">
      <c r="A85" s="7">
        <v>44578</v>
      </c>
      <c r="B85" s="6" t="s">
        <v>76</v>
      </c>
      <c r="C85" s="6" t="s">
        <v>79</v>
      </c>
      <c r="D85" s="6" t="s">
        <v>84</v>
      </c>
      <c r="E85" s="6">
        <v>5</v>
      </c>
      <c r="F85" s="6">
        <v>382</v>
      </c>
      <c r="G85" s="6">
        <f t="shared" si="1"/>
        <v>534</v>
      </c>
      <c r="H85" s="5">
        <f>tbl_Ventes[[#This Row],[PV]]*tbl_Ventes[[#This Row],[Qté]]</f>
        <v>2670</v>
      </c>
      <c r="I85" s="5">
        <f>tbl_Ventes[[#This Row],[Qté]]*(tbl_Ventes[[#This Row],[PV]]-tbl_Ventes[[#This Row],[PA]])</f>
        <v>760</v>
      </c>
    </row>
    <row r="86" spans="1:9" x14ac:dyDescent="0.25">
      <c r="A86" s="7">
        <v>44584</v>
      </c>
      <c r="B86" s="6" t="s">
        <v>65</v>
      </c>
      <c r="C86" s="6" t="s">
        <v>79</v>
      </c>
      <c r="D86" s="6" t="s">
        <v>96</v>
      </c>
      <c r="E86" s="6">
        <v>8</v>
      </c>
      <c r="F86" s="6">
        <v>474</v>
      </c>
      <c r="G86" s="6">
        <f t="shared" si="1"/>
        <v>663</v>
      </c>
      <c r="H86" s="5">
        <f>tbl_Ventes[[#This Row],[PV]]*tbl_Ventes[[#This Row],[Qté]]</f>
        <v>5304</v>
      </c>
      <c r="I86" s="5">
        <f>tbl_Ventes[[#This Row],[Qté]]*(tbl_Ventes[[#This Row],[PV]]-tbl_Ventes[[#This Row],[PA]])</f>
        <v>1512</v>
      </c>
    </row>
    <row r="87" spans="1:9" x14ac:dyDescent="0.25">
      <c r="A87" s="7">
        <v>44584</v>
      </c>
      <c r="B87" s="6" t="s">
        <v>77</v>
      </c>
      <c r="C87" s="6" t="s">
        <v>79</v>
      </c>
      <c r="D87" s="6" t="s">
        <v>83</v>
      </c>
      <c r="E87" s="6">
        <v>10</v>
      </c>
      <c r="F87" s="6">
        <v>300</v>
      </c>
      <c r="G87" s="6">
        <f t="shared" si="1"/>
        <v>420</v>
      </c>
      <c r="H87" s="5">
        <f>tbl_Ventes[[#This Row],[PV]]*tbl_Ventes[[#This Row],[Qté]]</f>
        <v>4200</v>
      </c>
      <c r="I87" s="5">
        <f>tbl_Ventes[[#This Row],[Qté]]*(tbl_Ventes[[#This Row],[PV]]-tbl_Ventes[[#This Row],[PA]])</f>
        <v>1200</v>
      </c>
    </row>
    <row r="88" spans="1:9" x14ac:dyDescent="0.25">
      <c r="A88" s="7">
        <v>44590</v>
      </c>
      <c r="B88" s="6" t="s">
        <v>66</v>
      </c>
      <c r="C88" s="6" t="s">
        <v>79</v>
      </c>
      <c r="D88" s="6" t="s">
        <v>85</v>
      </c>
      <c r="E88" s="6">
        <v>21</v>
      </c>
      <c r="F88" s="6">
        <v>206</v>
      </c>
      <c r="G88" s="6">
        <f t="shared" si="1"/>
        <v>288</v>
      </c>
      <c r="H88" s="5">
        <f>tbl_Ventes[[#This Row],[PV]]*tbl_Ventes[[#This Row],[Qté]]</f>
        <v>6048</v>
      </c>
      <c r="I88" s="5">
        <f>tbl_Ventes[[#This Row],[Qté]]*(tbl_Ventes[[#This Row],[PV]]-tbl_Ventes[[#This Row],[PA]])</f>
        <v>1722</v>
      </c>
    </row>
    <row r="89" spans="1:9" x14ac:dyDescent="0.25">
      <c r="A89" s="7">
        <v>44590</v>
      </c>
      <c r="B89" s="6" t="s">
        <v>60</v>
      </c>
      <c r="C89" s="6" t="s">
        <v>81</v>
      </c>
      <c r="D89" s="6" t="s">
        <v>83</v>
      </c>
      <c r="E89" s="6">
        <v>19</v>
      </c>
      <c r="F89" s="6">
        <v>362</v>
      </c>
      <c r="G89" s="6">
        <f t="shared" si="1"/>
        <v>506</v>
      </c>
      <c r="H89" s="5">
        <f>tbl_Ventes[[#This Row],[PV]]*tbl_Ventes[[#This Row],[Qté]]</f>
        <v>9614</v>
      </c>
      <c r="I89" s="5">
        <f>tbl_Ventes[[#This Row],[Qté]]*(tbl_Ventes[[#This Row],[PV]]-tbl_Ventes[[#This Row],[PA]])</f>
        <v>2736</v>
      </c>
    </row>
    <row r="90" spans="1:9" x14ac:dyDescent="0.25">
      <c r="A90" s="7">
        <v>44596</v>
      </c>
      <c r="B90" s="6" t="s">
        <v>67</v>
      </c>
      <c r="C90" s="6" t="s">
        <v>79</v>
      </c>
      <c r="D90" s="6" t="s">
        <v>83</v>
      </c>
      <c r="E90" s="6">
        <v>13</v>
      </c>
      <c r="F90" s="6">
        <v>278</v>
      </c>
      <c r="G90" s="6">
        <f t="shared" si="1"/>
        <v>389</v>
      </c>
      <c r="H90" s="5">
        <f>tbl_Ventes[[#This Row],[PV]]*tbl_Ventes[[#This Row],[Qté]]</f>
        <v>5057</v>
      </c>
      <c r="I90" s="5">
        <f>tbl_Ventes[[#This Row],[Qté]]*(tbl_Ventes[[#This Row],[PV]]-tbl_Ventes[[#This Row],[PA]])</f>
        <v>1443</v>
      </c>
    </row>
    <row r="91" spans="1:9" x14ac:dyDescent="0.25">
      <c r="A91" s="7">
        <v>44596</v>
      </c>
      <c r="B91" s="6" t="s">
        <v>61</v>
      </c>
      <c r="C91" s="6" t="s">
        <v>79</v>
      </c>
      <c r="D91" s="6" t="s">
        <v>82</v>
      </c>
      <c r="E91" s="6">
        <v>14</v>
      </c>
      <c r="F91" s="6">
        <v>434</v>
      </c>
      <c r="G91" s="6">
        <f t="shared" si="1"/>
        <v>607</v>
      </c>
      <c r="H91" s="5">
        <f>tbl_Ventes[[#This Row],[PV]]*tbl_Ventes[[#This Row],[Qté]]</f>
        <v>8498</v>
      </c>
      <c r="I91" s="5">
        <f>tbl_Ventes[[#This Row],[Qté]]*(tbl_Ventes[[#This Row],[PV]]-tbl_Ventes[[#This Row],[PA]])</f>
        <v>2422</v>
      </c>
    </row>
    <row r="92" spans="1:9" x14ac:dyDescent="0.25">
      <c r="A92" s="7">
        <v>44602</v>
      </c>
      <c r="B92" s="6" t="s">
        <v>68</v>
      </c>
      <c r="C92" s="6" t="s">
        <v>78</v>
      </c>
      <c r="D92" s="6" t="s">
        <v>85</v>
      </c>
      <c r="E92" s="6">
        <v>5</v>
      </c>
      <c r="F92" s="6">
        <v>255</v>
      </c>
      <c r="G92" s="6">
        <f t="shared" si="1"/>
        <v>357</v>
      </c>
      <c r="H92" s="5">
        <f>tbl_Ventes[[#This Row],[PV]]*tbl_Ventes[[#This Row],[Qté]]</f>
        <v>1785</v>
      </c>
      <c r="I92" s="5">
        <f>tbl_Ventes[[#This Row],[Qté]]*(tbl_Ventes[[#This Row],[PV]]-tbl_Ventes[[#This Row],[PA]])</f>
        <v>510</v>
      </c>
    </row>
    <row r="93" spans="1:9" x14ac:dyDescent="0.25">
      <c r="A93" s="7">
        <v>44602</v>
      </c>
      <c r="B93" s="6" t="s">
        <v>62</v>
      </c>
      <c r="C93" s="6" t="s">
        <v>79</v>
      </c>
      <c r="D93" s="6" t="s">
        <v>84</v>
      </c>
      <c r="E93" s="6">
        <v>8</v>
      </c>
      <c r="F93" s="6">
        <v>407</v>
      </c>
      <c r="G93" s="6">
        <f t="shared" si="1"/>
        <v>569</v>
      </c>
      <c r="H93" s="5">
        <f>tbl_Ventes[[#This Row],[PV]]*tbl_Ventes[[#This Row],[Qté]]</f>
        <v>4552</v>
      </c>
      <c r="I93" s="5">
        <f>tbl_Ventes[[#This Row],[Qté]]*(tbl_Ventes[[#This Row],[PV]]-tbl_Ventes[[#This Row],[PA]])</f>
        <v>1296</v>
      </c>
    </row>
    <row r="94" spans="1:9" x14ac:dyDescent="0.25">
      <c r="A94" s="7">
        <v>44608</v>
      </c>
      <c r="B94" s="6" t="s">
        <v>58</v>
      </c>
      <c r="C94" s="6" t="s">
        <v>81</v>
      </c>
      <c r="D94" s="6" t="s">
        <v>96</v>
      </c>
      <c r="E94" s="6">
        <v>17</v>
      </c>
      <c r="F94" s="6">
        <v>472</v>
      </c>
      <c r="G94" s="6">
        <f t="shared" si="1"/>
        <v>660</v>
      </c>
      <c r="H94" s="5">
        <f>tbl_Ventes[[#This Row],[PV]]*tbl_Ventes[[#This Row],[Qté]]</f>
        <v>11220</v>
      </c>
      <c r="I94" s="5">
        <f>tbl_Ventes[[#This Row],[Qté]]*(tbl_Ventes[[#This Row],[PV]]-tbl_Ventes[[#This Row],[PA]])</f>
        <v>3196</v>
      </c>
    </row>
    <row r="95" spans="1:9" x14ac:dyDescent="0.25">
      <c r="A95" s="7">
        <v>44608</v>
      </c>
      <c r="B95" s="6" t="s">
        <v>70</v>
      </c>
      <c r="C95" s="6" t="s">
        <v>80</v>
      </c>
      <c r="D95" s="6" t="s">
        <v>83</v>
      </c>
      <c r="E95" s="6">
        <v>10</v>
      </c>
      <c r="F95" s="6">
        <v>265</v>
      </c>
      <c r="G95" s="6">
        <f t="shared" si="1"/>
        <v>371</v>
      </c>
      <c r="H95" s="5">
        <f>tbl_Ventes[[#This Row],[PV]]*tbl_Ventes[[#This Row],[Qté]]</f>
        <v>3710</v>
      </c>
      <c r="I95" s="5">
        <f>tbl_Ventes[[#This Row],[Qté]]*(tbl_Ventes[[#This Row],[PV]]-tbl_Ventes[[#This Row],[PA]])</f>
        <v>1060</v>
      </c>
    </row>
    <row r="96" spans="1:9" x14ac:dyDescent="0.25">
      <c r="A96" s="7">
        <v>44614</v>
      </c>
      <c r="B96" s="6" t="s">
        <v>69</v>
      </c>
      <c r="C96" s="6" t="s">
        <v>78</v>
      </c>
      <c r="D96" s="6" t="s">
        <v>83</v>
      </c>
      <c r="E96" s="6">
        <v>19</v>
      </c>
      <c r="F96" s="6">
        <v>213</v>
      </c>
      <c r="G96" s="6">
        <f t="shared" si="1"/>
        <v>298</v>
      </c>
      <c r="H96" s="5">
        <f>tbl_Ventes[[#This Row],[PV]]*tbl_Ventes[[#This Row],[Qté]]</f>
        <v>5662</v>
      </c>
      <c r="I96" s="5">
        <f>tbl_Ventes[[#This Row],[Qté]]*(tbl_Ventes[[#This Row],[PV]]-tbl_Ventes[[#This Row],[PA]])</f>
        <v>1615</v>
      </c>
    </row>
    <row r="97" spans="1:9" x14ac:dyDescent="0.25">
      <c r="A97" s="7">
        <v>44614</v>
      </c>
      <c r="B97" s="6" t="s">
        <v>71</v>
      </c>
      <c r="C97" s="6" t="s">
        <v>80</v>
      </c>
      <c r="D97" s="6" t="s">
        <v>96</v>
      </c>
      <c r="E97" s="6">
        <v>8</v>
      </c>
      <c r="F97" s="6">
        <v>427</v>
      </c>
      <c r="G97" s="6">
        <f t="shared" si="1"/>
        <v>597</v>
      </c>
      <c r="H97" s="5">
        <f>tbl_Ventes[[#This Row],[PV]]*tbl_Ventes[[#This Row],[Qté]]</f>
        <v>4776</v>
      </c>
      <c r="I97" s="5">
        <f>tbl_Ventes[[#This Row],[Qté]]*(tbl_Ventes[[#This Row],[PV]]-tbl_Ventes[[#This Row],[PA]])</f>
        <v>1360</v>
      </c>
    </row>
    <row r="98" spans="1:9" x14ac:dyDescent="0.25">
      <c r="A98" s="7">
        <v>44620</v>
      </c>
      <c r="B98" s="6" t="s">
        <v>59</v>
      </c>
      <c r="C98" s="6" t="s">
        <v>81</v>
      </c>
      <c r="D98" s="6" t="s">
        <v>85</v>
      </c>
      <c r="E98" s="6">
        <v>10</v>
      </c>
      <c r="F98" s="6">
        <v>478</v>
      </c>
      <c r="G98" s="6">
        <f t="shared" si="1"/>
        <v>669</v>
      </c>
      <c r="H98" s="5">
        <f>tbl_Ventes[[#This Row],[PV]]*tbl_Ventes[[#This Row],[Qté]]</f>
        <v>6690</v>
      </c>
      <c r="I98" s="5">
        <f>tbl_Ventes[[#This Row],[Qté]]*(tbl_Ventes[[#This Row],[PV]]-tbl_Ventes[[#This Row],[PA]])</f>
        <v>1910</v>
      </c>
    </row>
    <row r="99" spans="1:9" x14ac:dyDescent="0.25">
      <c r="A99" s="7">
        <v>44620</v>
      </c>
      <c r="B99" s="6" t="s">
        <v>72</v>
      </c>
      <c r="C99" s="6" t="s">
        <v>78</v>
      </c>
      <c r="D99" s="6" t="s">
        <v>84</v>
      </c>
      <c r="E99" s="6">
        <v>21</v>
      </c>
      <c r="F99" s="6">
        <v>224</v>
      </c>
      <c r="G99" s="6">
        <f t="shared" si="1"/>
        <v>313</v>
      </c>
      <c r="H99" s="5">
        <f>tbl_Ventes[[#This Row],[PV]]*tbl_Ventes[[#This Row],[Qté]]</f>
        <v>6573</v>
      </c>
      <c r="I99" s="5">
        <f>tbl_Ventes[[#This Row],[Qté]]*(tbl_Ventes[[#This Row],[PV]]-tbl_Ventes[[#This Row],[PA]])</f>
        <v>1869</v>
      </c>
    </row>
    <row r="100" spans="1:9" x14ac:dyDescent="0.25">
      <c r="A100" s="7">
        <v>44626</v>
      </c>
      <c r="B100" s="6" t="s">
        <v>60</v>
      </c>
      <c r="C100" s="6" t="s">
        <v>81</v>
      </c>
      <c r="D100" s="6" t="s">
        <v>85</v>
      </c>
      <c r="E100" s="6">
        <v>19</v>
      </c>
      <c r="F100" s="6">
        <v>362</v>
      </c>
      <c r="G100" s="6">
        <f t="shared" si="1"/>
        <v>506</v>
      </c>
      <c r="H100" s="5">
        <f>tbl_Ventes[[#This Row],[PV]]*tbl_Ventes[[#This Row],[Qté]]</f>
        <v>9614</v>
      </c>
      <c r="I100" s="5">
        <f>tbl_Ventes[[#This Row],[Qté]]*(tbl_Ventes[[#This Row],[PV]]-tbl_Ventes[[#This Row],[PA]])</f>
        <v>2736</v>
      </c>
    </row>
    <row r="101" spans="1:9" x14ac:dyDescent="0.25">
      <c r="A101" s="7">
        <v>44626</v>
      </c>
      <c r="B101" s="6" t="s">
        <v>73</v>
      </c>
      <c r="C101" s="6" t="s">
        <v>81</v>
      </c>
      <c r="D101" s="6" t="s">
        <v>82</v>
      </c>
      <c r="E101" s="6">
        <v>13</v>
      </c>
      <c r="F101" s="6">
        <v>270</v>
      </c>
      <c r="G101" s="6">
        <f t="shared" si="1"/>
        <v>378</v>
      </c>
      <c r="H101" s="5">
        <f>tbl_Ventes[[#This Row],[PV]]*tbl_Ventes[[#This Row],[Qté]]</f>
        <v>4914</v>
      </c>
      <c r="I101" s="5">
        <f>tbl_Ventes[[#This Row],[Qté]]*(tbl_Ventes[[#This Row],[PV]]-tbl_Ventes[[#This Row],[PA]])</f>
        <v>1404</v>
      </c>
    </row>
    <row r="102" spans="1:9" x14ac:dyDescent="0.25">
      <c r="A102" s="7">
        <v>44632</v>
      </c>
      <c r="B102" s="6" t="s">
        <v>61</v>
      </c>
      <c r="C102" s="6" t="s">
        <v>79</v>
      </c>
      <c r="D102" s="6" t="s">
        <v>85</v>
      </c>
      <c r="E102" s="6">
        <v>14</v>
      </c>
      <c r="F102" s="6">
        <v>434</v>
      </c>
      <c r="G102" s="6">
        <f t="shared" si="1"/>
        <v>607</v>
      </c>
      <c r="H102" s="5">
        <f>tbl_Ventes[[#This Row],[PV]]*tbl_Ventes[[#This Row],[Qté]]</f>
        <v>8498</v>
      </c>
      <c r="I102" s="5">
        <f>tbl_Ventes[[#This Row],[Qté]]*(tbl_Ventes[[#This Row],[PV]]-tbl_Ventes[[#This Row],[PA]])</f>
        <v>2422</v>
      </c>
    </row>
    <row r="103" spans="1:9" x14ac:dyDescent="0.25">
      <c r="A103" s="7">
        <v>44632</v>
      </c>
      <c r="B103" s="6" t="s">
        <v>74</v>
      </c>
      <c r="C103" s="6" t="s">
        <v>79</v>
      </c>
      <c r="D103" s="6" t="s">
        <v>96</v>
      </c>
      <c r="E103" s="6">
        <v>5</v>
      </c>
      <c r="F103" s="6">
        <v>385</v>
      </c>
      <c r="G103" s="6">
        <f t="shared" si="1"/>
        <v>539</v>
      </c>
      <c r="H103" s="5">
        <f>tbl_Ventes[[#This Row],[PV]]*tbl_Ventes[[#This Row],[Qté]]</f>
        <v>2695</v>
      </c>
      <c r="I103" s="5">
        <f>tbl_Ventes[[#This Row],[Qté]]*(tbl_Ventes[[#This Row],[PV]]-tbl_Ventes[[#This Row],[PA]])</f>
        <v>770</v>
      </c>
    </row>
    <row r="104" spans="1:9" x14ac:dyDescent="0.25">
      <c r="A104" s="7">
        <v>44638</v>
      </c>
      <c r="B104" s="6" t="s">
        <v>62</v>
      </c>
      <c r="C104" s="6" t="s">
        <v>80</v>
      </c>
      <c r="D104" s="6" t="s">
        <v>83</v>
      </c>
      <c r="E104" s="6">
        <v>8</v>
      </c>
      <c r="F104" s="6">
        <v>407</v>
      </c>
      <c r="G104" s="6">
        <f t="shared" si="1"/>
        <v>569</v>
      </c>
      <c r="H104" s="5">
        <f>tbl_Ventes[[#This Row],[PV]]*tbl_Ventes[[#This Row],[Qté]]</f>
        <v>4552</v>
      </c>
      <c r="I104" s="5">
        <f>tbl_Ventes[[#This Row],[Qté]]*(tbl_Ventes[[#This Row],[PV]]-tbl_Ventes[[#This Row],[PA]])</f>
        <v>1296</v>
      </c>
    </row>
    <row r="105" spans="1:9" x14ac:dyDescent="0.25">
      <c r="A105" s="7">
        <v>44638</v>
      </c>
      <c r="B105" s="6" t="s">
        <v>75</v>
      </c>
      <c r="C105" s="6" t="s">
        <v>78</v>
      </c>
      <c r="D105" s="6" t="s">
        <v>85</v>
      </c>
      <c r="E105" s="6">
        <v>15</v>
      </c>
      <c r="F105" s="6">
        <v>105</v>
      </c>
      <c r="G105" s="6">
        <f t="shared" si="1"/>
        <v>147</v>
      </c>
      <c r="H105" s="5">
        <f>tbl_Ventes[[#This Row],[PV]]*tbl_Ventes[[#This Row],[Qté]]</f>
        <v>2205</v>
      </c>
      <c r="I105" s="5">
        <f>tbl_Ventes[[#This Row],[Qté]]*(tbl_Ventes[[#This Row],[PV]]-tbl_Ventes[[#This Row],[PA]])</f>
        <v>630</v>
      </c>
    </row>
    <row r="106" spans="1:9" x14ac:dyDescent="0.25">
      <c r="A106" s="7">
        <v>44644</v>
      </c>
      <c r="B106" s="6" t="s">
        <v>70</v>
      </c>
      <c r="C106" s="6" t="s">
        <v>79</v>
      </c>
      <c r="D106" s="6" t="s">
        <v>84</v>
      </c>
      <c r="E106" s="6">
        <v>6</v>
      </c>
      <c r="F106" s="6">
        <v>265</v>
      </c>
      <c r="G106" s="6">
        <f t="shared" si="1"/>
        <v>371</v>
      </c>
      <c r="H106" s="5">
        <f>tbl_Ventes[[#This Row],[PV]]*tbl_Ventes[[#This Row],[Qté]]</f>
        <v>2226</v>
      </c>
      <c r="I106" s="5">
        <f>tbl_Ventes[[#This Row],[Qté]]*(tbl_Ventes[[#This Row],[PV]]-tbl_Ventes[[#This Row],[PA]])</f>
        <v>636</v>
      </c>
    </row>
    <row r="107" spans="1:9" x14ac:dyDescent="0.25">
      <c r="A107" s="7">
        <v>44644</v>
      </c>
      <c r="B107" s="6" t="s">
        <v>76</v>
      </c>
      <c r="C107" s="6" t="s">
        <v>81</v>
      </c>
      <c r="D107" s="6" t="s">
        <v>96</v>
      </c>
      <c r="E107" s="6">
        <v>23</v>
      </c>
      <c r="F107" s="6">
        <v>382</v>
      </c>
      <c r="G107" s="6">
        <f t="shared" si="1"/>
        <v>534</v>
      </c>
      <c r="H107" s="5">
        <f>tbl_Ventes[[#This Row],[PV]]*tbl_Ventes[[#This Row],[Qté]]</f>
        <v>12282</v>
      </c>
      <c r="I107" s="5">
        <f>tbl_Ventes[[#This Row],[Qté]]*(tbl_Ventes[[#This Row],[PV]]-tbl_Ventes[[#This Row],[PA]])</f>
        <v>3496</v>
      </c>
    </row>
    <row r="108" spans="1:9" x14ac:dyDescent="0.25">
      <c r="A108" s="7">
        <v>44650</v>
      </c>
      <c r="B108" s="6" t="s">
        <v>71</v>
      </c>
      <c r="C108" s="6" t="s">
        <v>80</v>
      </c>
      <c r="D108" s="6" t="s">
        <v>83</v>
      </c>
      <c r="E108" s="6">
        <v>18</v>
      </c>
      <c r="F108" s="6">
        <v>427</v>
      </c>
      <c r="G108" s="6">
        <f t="shared" si="1"/>
        <v>597</v>
      </c>
      <c r="H108" s="5">
        <f>tbl_Ventes[[#This Row],[PV]]*tbl_Ventes[[#This Row],[Qté]]</f>
        <v>10746</v>
      </c>
      <c r="I108" s="5">
        <f>tbl_Ventes[[#This Row],[Qté]]*(tbl_Ventes[[#This Row],[PV]]-tbl_Ventes[[#This Row],[PA]])</f>
        <v>3060</v>
      </c>
    </row>
    <row r="109" spans="1:9" x14ac:dyDescent="0.25">
      <c r="A109" s="7">
        <v>44650</v>
      </c>
      <c r="B109" s="6" t="s">
        <v>77</v>
      </c>
      <c r="C109" s="6" t="s">
        <v>80</v>
      </c>
      <c r="D109" s="6" t="s">
        <v>82</v>
      </c>
      <c r="E109" s="6">
        <v>19</v>
      </c>
      <c r="F109" s="6">
        <v>300</v>
      </c>
      <c r="G109" s="6">
        <f t="shared" si="1"/>
        <v>420</v>
      </c>
      <c r="H109" s="5">
        <f>tbl_Ventes[[#This Row],[PV]]*tbl_Ventes[[#This Row],[Qté]]</f>
        <v>7980</v>
      </c>
      <c r="I109" s="5">
        <f>tbl_Ventes[[#This Row],[Qté]]*(tbl_Ventes[[#This Row],[PV]]-tbl_Ventes[[#This Row],[PA]])</f>
        <v>2280</v>
      </c>
    </row>
    <row r="110" spans="1:9" x14ac:dyDescent="0.25">
      <c r="A110" s="7">
        <v>44656</v>
      </c>
      <c r="B110" s="6" t="s">
        <v>72</v>
      </c>
      <c r="C110" s="6" t="s">
        <v>79</v>
      </c>
      <c r="D110" s="6" t="s">
        <v>96</v>
      </c>
      <c r="E110" s="6">
        <v>6</v>
      </c>
      <c r="F110" s="6">
        <v>224</v>
      </c>
      <c r="G110" s="6">
        <f t="shared" si="1"/>
        <v>313</v>
      </c>
      <c r="H110" s="5">
        <f>tbl_Ventes[[#This Row],[PV]]*tbl_Ventes[[#This Row],[Qté]]</f>
        <v>1878</v>
      </c>
      <c r="I110" s="5">
        <f>tbl_Ventes[[#This Row],[Qté]]*(tbl_Ventes[[#This Row],[PV]]-tbl_Ventes[[#This Row],[PA]])</f>
        <v>534</v>
      </c>
    </row>
    <row r="111" spans="1:9" x14ac:dyDescent="0.25">
      <c r="A111" s="7">
        <v>44656</v>
      </c>
      <c r="B111" s="6" t="s">
        <v>58</v>
      </c>
      <c r="C111" s="6" t="s">
        <v>79</v>
      </c>
      <c r="D111" s="6" t="s">
        <v>96</v>
      </c>
      <c r="E111" s="6">
        <v>24</v>
      </c>
      <c r="F111" s="6">
        <v>472</v>
      </c>
      <c r="G111" s="6">
        <f t="shared" si="1"/>
        <v>660</v>
      </c>
      <c r="H111" s="5">
        <f>tbl_Ventes[[#This Row],[PV]]*tbl_Ventes[[#This Row],[Qté]]</f>
        <v>15840</v>
      </c>
      <c r="I111" s="5">
        <f>tbl_Ventes[[#This Row],[Qté]]*(tbl_Ventes[[#This Row],[PV]]-tbl_Ventes[[#This Row],[PA]])</f>
        <v>4512</v>
      </c>
    </row>
    <row r="112" spans="1:9" x14ac:dyDescent="0.25">
      <c r="A112" s="7">
        <v>44662</v>
      </c>
      <c r="B112" s="6" t="s">
        <v>73</v>
      </c>
      <c r="C112" s="6" t="s">
        <v>79</v>
      </c>
      <c r="D112" s="6" t="s">
        <v>84</v>
      </c>
      <c r="E112" s="6">
        <v>14</v>
      </c>
      <c r="F112" s="6">
        <v>270</v>
      </c>
      <c r="G112" s="6">
        <f t="shared" si="1"/>
        <v>378</v>
      </c>
      <c r="H112" s="5">
        <f>tbl_Ventes[[#This Row],[PV]]*tbl_Ventes[[#This Row],[Qté]]</f>
        <v>5292</v>
      </c>
      <c r="I112" s="5">
        <f>tbl_Ventes[[#This Row],[Qté]]*(tbl_Ventes[[#This Row],[PV]]-tbl_Ventes[[#This Row],[PA]])</f>
        <v>1512</v>
      </c>
    </row>
    <row r="113" spans="1:9" x14ac:dyDescent="0.25">
      <c r="A113" s="7">
        <v>44662</v>
      </c>
      <c r="B113" s="6" t="s">
        <v>69</v>
      </c>
      <c r="C113" s="6" t="s">
        <v>80</v>
      </c>
      <c r="D113" s="6" t="s">
        <v>84</v>
      </c>
      <c r="E113" s="6">
        <v>21</v>
      </c>
      <c r="F113" s="6">
        <v>213</v>
      </c>
      <c r="G113" s="6">
        <f t="shared" si="1"/>
        <v>298</v>
      </c>
      <c r="H113" s="5">
        <f>tbl_Ventes[[#This Row],[PV]]*tbl_Ventes[[#This Row],[Qté]]</f>
        <v>6258</v>
      </c>
      <c r="I113" s="5">
        <f>tbl_Ventes[[#This Row],[Qté]]*(tbl_Ventes[[#This Row],[PV]]-tbl_Ventes[[#This Row],[PA]])</f>
        <v>1785</v>
      </c>
    </row>
    <row r="114" spans="1:9" x14ac:dyDescent="0.25">
      <c r="A114" s="7">
        <v>44668</v>
      </c>
      <c r="B114" s="6" t="s">
        <v>74</v>
      </c>
      <c r="C114" s="6" t="s">
        <v>81</v>
      </c>
      <c r="D114" s="6" t="s">
        <v>85</v>
      </c>
      <c r="E114" s="6">
        <v>5</v>
      </c>
      <c r="F114" s="6">
        <v>385</v>
      </c>
      <c r="G114" s="6">
        <f t="shared" si="1"/>
        <v>539</v>
      </c>
      <c r="H114" s="5">
        <f>tbl_Ventes[[#This Row],[PV]]*tbl_Ventes[[#This Row],[Qté]]</f>
        <v>2695</v>
      </c>
      <c r="I114" s="5">
        <f>tbl_Ventes[[#This Row],[Qté]]*(tbl_Ventes[[#This Row],[PV]]-tbl_Ventes[[#This Row],[PA]])</f>
        <v>770</v>
      </c>
    </row>
    <row r="115" spans="1:9" x14ac:dyDescent="0.25">
      <c r="A115" s="7">
        <v>44668</v>
      </c>
      <c r="B115" s="6" t="s">
        <v>59</v>
      </c>
      <c r="C115" s="6" t="s">
        <v>80</v>
      </c>
      <c r="D115" s="6" t="s">
        <v>96</v>
      </c>
      <c r="E115" s="6">
        <v>20</v>
      </c>
      <c r="F115" s="6">
        <v>478</v>
      </c>
      <c r="G115" s="6">
        <f t="shared" si="1"/>
        <v>669</v>
      </c>
      <c r="H115" s="5">
        <f>tbl_Ventes[[#This Row],[PV]]*tbl_Ventes[[#This Row],[Qté]]</f>
        <v>13380</v>
      </c>
      <c r="I115" s="5">
        <f>tbl_Ventes[[#This Row],[Qté]]*(tbl_Ventes[[#This Row],[PV]]-tbl_Ventes[[#This Row],[PA]])</f>
        <v>3820</v>
      </c>
    </row>
    <row r="116" spans="1:9" x14ac:dyDescent="0.25">
      <c r="A116" s="7">
        <v>44674</v>
      </c>
      <c r="B116" s="6" t="s">
        <v>75</v>
      </c>
      <c r="C116" s="6" t="s">
        <v>80</v>
      </c>
      <c r="D116" s="6" t="s">
        <v>84</v>
      </c>
      <c r="E116" s="6">
        <v>16</v>
      </c>
      <c r="F116" s="6">
        <v>105</v>
      </c>
      <c r="G116" s="6">
        <f t="shared" si="1"/>
        <v>147</v>
      </c>
      <c r="H116" s="5">
        <f>tbl_Ventes[[#This Row],[PV]]*tbl_Ventes[[#This Row],[Qté]]</f>
        <v>2352</v>
      </c>
      <c r="I116" s="5">
        <f>tbl_Ventes[[#This Row],[Qté]]*(tbl_Ventes[[#This Row],[PV]]-tbl_Ventes[[#This Row],[PA]])</f>
        <v>672</v>
      </c>
    </row>
    <row r="117" spans="1:9" x14ac:dyDescent="0.25">
      <c r="A117" s="7">
        <v>44674</v>
      </c>
      <c r="B117" s="6" t="s">
        <v>60</v>
      </c>
      <c r="C117" s="6" t="s">
        <v>80</v>
      </c>
      <c r="D117" s="6" t="s">
        <v>82</v>
      </c>
      <c r="E117" s="6">
        <v>22</v>
      </c>
      <c r="F117" s="6">
        <v>362</v>
      </c>
      <c r="G117" s="6">
        <f t="shared" si="1"/>
        <v>506</v>
      </c>
      <c r="H117" s="5">
        <f>tbl_Ventes[[#This Row],[PV]]*tbl_Ventes[[#This Row],[Qté]]</f>
        <v>11132</v>
      </c>
      <c r="I117" s="5">
        <f>tbl_Ventes[[#This Row],[Qté]]*(tbl_Ventes[[#This Row],[PV]]-tbl_Ventes[[#This Row],[PA]])</f>
        <v>3168</v>
      </c>
    </row>
    <row r="118" spans="1:9" x14ac:dyDescent="0.25">
      <c r="A118" s="7">
        <v>44680</v>
      </c>
      <c r="B118" s="6" t="s">
        <v>76</v>
      </c>
      <c r="C118" s="6" t="s">
        <v>79</v>
      </c>
      <c r="D118" s="6" t="s">
        <v>96</v>
      </c>
      <c r="E118" s="6">
        <v>8</v>
      </c>
      <c r="F118" s="6">
        <v>382</v>
      </c>
      <c r="G118" s="6">
        <f t="shared" si="1"/>
        <v>534</v>
      </c>
      <c r="H118" s="5">
        <f>tbl_Ventes[[#This Row],[PV]]*tbl_Ventes[[#This Row],[Qté]]</f>
        <v>4272</v>
      </c>
      <c r="I118" s="5">
        <f>tbl_Ventes[[#This Row],[Qté]]*(tbl_Ventes[[#This Row],[PV]]-tbl_Ventes[[#This Row],[PA]])</f>
        <v>1216</v>
      </c>
    </row>
    <row r="119" spans="1:9" x14ac:dyDescent="0.25">
      <c r="A119" s="7">
        <v>44680</v>
      </c>
      <c r="B119" s="6" t="s">
        <v>61</v>
      </c>
      <c r="C119" s="6" t="s">
        <v>79</v>
      </c>
      <c r="D119" s="6" t="s">
        <v>84</v>
      </c>
      <c r="E119" s="6">
        <v>10</v>
      </c>
      <c r="F119" s="6">
        <v>434</v>
      </c>
      <c r="G119" s="6">
        <f t="shared" si="1"/>
        <v>607</v>
      </c>
      <c r="H119" s="5">
        <f>tbl_Ventes[[#This Row],[PV]]*tbl_Ventes[[#This Row],[Qté]]</f>
        <v>6070</v>
      </c>
      <c r="I119" s="5">
        <f>tbl_Ventes[[#This Row],[Qté]]*(tbl_Ventes[[#This Row],[PV]]-tbl_Ventes[[#This Row],[PA]])</f>
        <v>1730</v>
      </c>
    </row>
    <row r="120" spans="1:9" x14ac:dyDescent="0.25">
      <c r="A120" s="7">
        <v>44686</v>
      </c>
      <c r="B120" s="6" t="s">
        <v>77</v>
      </c>
      <c r="C120" s="6" t="s">
        <v>78</v>
      </c>
      <c r="D120" s="6" t="s">
        <v>96</v>
      </c>
      <c r="E120" s="6">
        <v>21</v>
      </c>
      <c r="F120" s="6">
        <v>300</v>
      </c>
      <c r="G120" s="6">
        <f t="shared" si="1"/>
        <v>420</v>
      </c>
      <c r="H120" s="5">
        <f>tbl_Ventes[[#This Row],[PV]]*tbl_Ventes[[#This Row],[Qté]]</f>
        <v>8820</v>
      </c>
      <c r="I120" s="5">
        <f>tbl_Ventes[[#This Row],[Qté]]*(tbl_Ventes[[#This Row],[PV]]-tbl_Ventes[[#This Row],[PA]])</f>
        <v>2520</v>
      </c>
    </row>
    <row r="121" spans="1:9" x14ac:dyDescent="0.25">
      <c r="A121" s="7">
        <v>44686</v>
      </c>
      <c r="B121" s="6" t="s">
        <v>62</v>
      </c>
      <c r="C121" s="6" t="s">
        <v>79</v>
      </c>
      <c r="D121" s="6" t="s">
        <v>85</v>
      </c>
      <c r="E121" s="6">
        <v>19</v>
      </c>
      <c r="F121" s="6">
        <v>407</v>
      </c>
      <c r="G121" s="6">
        <f t="shared" si="1"/>
        <v>569</v>
      </c>
      <c r="H121" s="5">
        <f>tbl_Ventes[[#This Row],[PV]]*tbl_Ventes[[#This Row],[Qté]]</f>
        <v>10811</v>
      </c>
      <c r="I121" s="5">
        <f>tbl_Ventes[[#This Row],[Qté]]*(tbl_Ventes[[#This Row],[PV]]-tbl_Ventes[[#This Row],[PA]])</f>
        <v>3078</v>
      </c>
    </row>
    <row r="122" spans="1:9" x14ac:dyDescent="0.25">
      <c r="A122" s="7">
        <v>44692</v>
      </c>
      <c r="B122" s="6" t="s">
        <v>63</v>
      </c>
      <c r="C122" s="6" t="s">
        <v>81</v>
      </c>
      <c r="D122" s="6" t="s">
        <v>82</v>
      </c>
      <c r="E122" s="6">
        <v>13</v>
      </c>
      <c r="F122" s="6">
        <v>360</v>
      </c>
      <c r="G122" s="6">
        <f t="shared" si="1"/>
        <v>504</v>
      </c>
      <c r="H122" s="5">
        <f>tbl_Ventes[[#This Row],[PV]]*tbl_Ventes[[#This Row],[Qté]]</f>
        <v>6552</v>
      </c>
      <c r="I122" s="5">
        <f>tbl_Ventes[[#This Row],[Qté]]*(tbl_Ventes[[#This Row],[PV]]-tbl_Ventes[[#This Row],[PA]])</f>
        <v>1872</v>
      </c>
    </row>
    <row r="123" spans="1:9" x14ac:dyDescent="0.25">
      <c r="A123" s="7">
        <v>44692</v>
      </c>
      <c r="B123" s="6" t="s">
        <v>70</v>
      </c>
      <c r="C123" s="6" t="s">
        <v>78</v>
      </c>
      <c r="D123" s="6" t="s">
        <v>84</v>
      </c>
      <c r="E123" s="6">
        <v>14</v>
      </c>
      <c r="F123" s="6">
        <v>265</v>
      </c>
      <c r="G123" s="6">
        <f t="shared" si="1"/>
        <v>371</v>
      </c>
      <c r="H123" s="5">
        <f>tbl_Ventes[[#This Row],[PV]]*tbl_Ventes[[#This Row],[Qté]]</f>
        <v>5194</v>
      </c>
      <c r="I123" s="5">
        <f>tbl_Ventes[[#This Row],[Qté]]*(tbl_Ventes[[#This Row],[PV]]-tbl_Ventes[[#This Row],[PA]])</f>
        <v>1484</v>
      </c>
    </row>
    <row r="124" spans="1:9" x14ac:dyDescent="0.25">
      <c r="A124" s="7">
        <v>44698</v>
      </c>
      <c r="B124" s="6" t="s">
        <v>64</v>
      </c>
      <c r="C124" s="6" t="s">
        <v>80</v>
      </c>
      <c r="D124" s="6" t="s">
        <v>83</v>
      </c>
      <c r="E124" s="6">
        <v>5</v>
      </c>
      <c r="F124" s="6">
        <v>228</v>
      </c>
      <c r="G124" s="6">
        <f t="shared" si="1"/>
        <v>319</v>
      </c>
      <c r="H124" s="5">
        <f>tbl_Ventes[[#This Row],[PV]]*tbl_Ventes[[#This Row],[Qté]]</f>
        <v>1595</v>
      </c>
      <c r="I124" s="5">
        <f>tbl_Ventes[[#This Row],[Qté]]*(tbl_Ventes[[#This Row],[PV]]-tbl_Ventes[[#This Row],[PA]])</f>
        <v>455</v>
      </c>
    </row>
    <row r="125" spans="1:9" x14ac:dyDescent="0.25">
      <c r="A125" s="7">
        <v>44698</v>
      </c>
      <c r="B125" s="6" t="s">
        <v>71</v>
      </c>
      <c r="C125" s="6" t="s">
        <v>78</v>
      </c>
      <c r="D125" s="6" t="s">
        <v>82</v>
      </c>
      <c r="E125" s="6">
        <v>8</v>
      </c>
      <c r="F125" s="6">
        <v>427</v>
      </c>
      <c r="G125" s="6">
        <f t="shared" si="1"/>
        <v>597</v>
      </c>
      <c r="H125" s="5">
        <f>tbl_Ventes[[#This Row],[PV]]*tbl_Ventes[[#This Row],[Qté]]</f>
        <v>4776</v>
      </c>
      <c r="I125" s="5">
        <f>tbl_Ventes[[#This Row],[Qté]]*(tbl_Ventes[[#This Row],[PV]]-tbl_Ventes[[#This Row],[PA]])</f>
        <v>1360</v>
      </c>
    </row>
    <row r="126" spans="1:9" x14ac:dyDescent="0.25">
      <c r="A126" s="7">
        <v>44704</v>
      </c>
      <c r="B126" s="6" t="s">
        <v>65</v>
      </c>
      <c r="C126" s="6" t="s">
        <v>78</v>
      </c>
      <c r="D126" s="6" t="s">
        <v>82</v>
      </c>
      <c r="E126" s="6">
        <v>18</v>
      </c>
      <c r="F126" s="6">
        <v>474</v>
      </c>
      <c r="G126" s="6">
        <f t="shared" si="1"/>
        <v>663</v>
      </c>
      <c r="H126" s="5">
        <f>tbl_Ventes[[#This Row],[PV]]*tbl_Ventes[[#This Row],[Qté]]</f>
        <v>11934</v>
      </c>
      <c r="I126" s="5">
        <f>tbl_Ventes[[#This Row],[Qté]]*(tbl_Ventes[[#This Row],[PV]]-tbl_Ventes[[#This Row],[PA]])</f>
        <v>3402</v>
      </c>
    </row>
    <row r="127" spans="1:9" x14ac:dyDescent="0.25">
      <c r="A127" s="7">
        <v>44704</v>
      </c>
      <c r="B127" s="6" t="s">
        <v>72</v>
      </c>
      <c r="C127" s="6" t="s">
        <v>80</v>
      </c>
      <c r="D127" s="6" t="s">
        <v>96</v>
      </c>
      <c r="E127" s="6">
        <v>10</v>
      </c>
      <c r="F127" s="6">
        <v>224</v>
      </c>
      <c r="G127" s="6">
        <f t="shared" si="1"/>
        <v>313</v>
      </c>
      <c r="H127" s="5">
        <f>tbl_Ventes[[#This Row],[PV]]*tbl_Ventes[[#This Row],[Qté]]</f>
        <v>3130</v>
      </c>
      <c r="I127" s="5">
        <f>tbl_Ventes[[#This Row],[Qté]]*(tbl_Ventes[[#This Row],[PV]]-tbl_Ventes[[#This Row],[PA]])</f>
        <v>890</v>
      </c>
    </row>
    <row r="128" spans="1:9" x14ac:dyDescent="0.25">
      <c r="A128" s="7">
        <v>44710</v>
      </c>
      <c r="B128" s="6" t="s">
        <v>66</v>
      </c>
      <c r="C128" s="6" t="s">
        <v>79</v>
      </c>
      <c r="D128" s="6" t="s">
        <v>83</v>
      </c>
      <c r="E128" s="6">
        <v>18</v>
      </c>
      <c r="F128" s="6">
        <v>206</v>
      </c>
      <c r="G128" s="6">
        <f t="shared" si="1"/>
        <v>288</v>
      </c>
      <c r="H128" s="5">
        <f>tbl_Ventes[[#This Row],[PV]]*tbl_Ventes[[#This Row],[Qté]]</f>
        <v>5184</v>
      </c>
      <c r="I128" s="5">
        <f>tbl_Ventes[[#This Row],[Qté]]*(tbl_Ventes[[#This Row],[PV]]-tbl_Ventes[[#This Row],[PA]])</f>
        <v>1476</v>
      </c>
    </row>
    <row r="129" spans="1:9" x14ac:dyDescent="0.25">
      <c r="A129" s="7">
        <v>44710</v>
      </c>
      <c r="B129" s="6" t="s">
        <v>63</v>
      </c>
      <c r="C129" s="6" t="s">
        <v>78</v>
      </c>
      <c r="D129" s="6" t="s">
        <v>85</v>
      </c>
      <c r="E129" s="6">
        <v>19</v>
      </c>
      <c r="F129" s="6">
        <v>360</v>
      </c>
      <c r="G129" s="6">
        <f t="shared" si="1"/>
        <v>504</v>
      </c>
      <c r="H129" s="5">
        <f>tbl_Ventes[[#This Row],[PV]]*tbl_Ventes[[#This Row],[Qté]]</f>
        <v>9576</v>
      </c>
      <c r="I129" s="5">
        <f>tbl_Ventes[[#This Row],[Qté]]*(tbl_Ventes[[#This Row],[PV]]-tbl_Ventes[[#This Row],[PA]])</f>
        <v>2736</v>
      </c>
    </row>
    <row r="130" spans="1:9" x14ac:dyDescent="0.25">
      <c r="A130" s="7">
        <v>44716</v>
      </c>
      <c r="B130" s="6" t="s">
        <v>67</v>
      </c>
      <c r="C130" s="6" t="s">
        <v>79</v>
      </c>
      <c r="D130" s="6" t="s">
        <v>96</v>
      </c>
      <c r="E130" s="6">
        <v>7</v>
      </c>
      <c r="F130" s="6">
        <v>278</v>
      </c>
      <c r="G130" s="6">
        <f t="shared" ref="G130:G164" si="2">INT(F130*1.4)</f>
        <v>389</v>
      </c>
      <c r="H130" s="5">
        <f>tbl_Ventes[[#This Row],[PV]]*tbl_Ventes[[#This Row],[Qté]]</f>
        <v>2723</v>
      </c>
      <c r="I130" s="5">
        <f>tbl_Ventes[[#This Row],[Qté]]*(tbl_Ventes[[#This Row],[PV]]-tbl_Ventes[[#This Row],[PA]])</f>
        <v>777</v>
      </c>
    </row>
    <row r="131" spans="1:9" x14ac:dyDescent="0.25">
      <c r="A131" s="7">
        <v>44716</v>
      </c>
      <c r="B131" s="6" t="s">
        <v>64</v>
      </c>
      <c r="C131" s="6" t="s">
        <v>78</v>
      </c>
      <c r="D131" s="6" t="s">
        <v>82</v>
      </c>
      <c r="E131" s="6">
        <v>14</v>
      </c>
      <c r="F131" s="6">
        <v>228</v>
      </c>
      <c r="G131" s="6">
        <f t="shared" si="2"/>
        <v>319</v>
      </c>
      <c r="H131" s="5">
        <f>tbl_Ventes[[#This Row],[PV]]*tbl_Ventes[[#This Row],[Qté]]</f>
        <v>4466</v>
      </c>
      <c r="I131" s="5">
        <f>tbl_Ventes[[#This Row],[Qté]]*(tbl_Ventes[[#This Row],[PV]]-tbl_Ventes[[#This Row],[PA]])</f>
        <v>1274</v>
      </c>
    </row>
    <row r="132" spans="1:9" x14ac:dyDescent="0.25">
      <c r="A132" s="7">
        <v>44722</v>
      </c>
      <c r="B132" s="6" t="s">
        <v>68</v>
      </c>
      <c r="C132" s="6" t="s">
        <v>78</v>
      </c>
      <c r="D132" s="6" t="s">
        <v>85</v>
      </c>
      <c r="E132" s="6">
        <v>16</v>
      </c>
      <c r="F132" s="6">
        <v>255</v>
      </c>
      <c r="G132" s="6">
        <f t="shared" si="2"/>
        <v>357</v>
      </c>
      <c r="H132" s="5">
        <f>tbl_Ventes[[#This Row],[PV]]*tbl_Ventes[[#This Row],[Qté]]</f>
        <v>5712</v>
      </c>
      <c r="I132" s="5">
        <f>tbl_Ventes[[#This Row],[Qté]]*(tbl_Ventes[[#This Row],[PV]]-tbl_Ventes[[#This Row],[PA]])</f>
        <v>1632</v>
      </c>
    </row>
    <row r="133" spans="1:9" x14ac:dyDescent="0.25">
      <c r="A133" s="7">
        <v>44722</v>
      </c>
      <c r="B133" s="6" t="s">
        <v>65</v>
      </c>
      <c r="C133" s="6" t="s">
        <v>80</v>
      </c>
      <c r="D133" s="6" t="s">
        <v>85</v>
      </c>
      <c r="E133" s="6">
        <v>8</v>
      </c>
      <c r="F133" s="6">
        <v>474</v>
      </c>
      <c r="G133" s="6">
        <f t="shared" si="2"/>
        <v>663</v>
      </c>
      <c r="H133" s="5">
        <f>tbl_Ventes[[#This Row],[PV]]*tbl_Ventes[[#This Row],[Qté]]</f>
        <v>5304</v>
      </c>
      <c r="I133" s="5">
        <f>tbl_Ventes[[#This Row],[Qté]]*(tbl_Ventes[[#This Row],[PV]]-tbl_Ventes[[#This Row],[PA]])</f>
        <v>1512</v>
      </c>
    </row>
    <row r="134" spans="1:9" x14ac:dyDescent="0.25">
      <c r="A134" s="7">
        <v>44728</v>
      </c>
      <c r="B134" s="6" t="s">
        <v>58</v>
      </c>
      <c r="C134" s="6" t="s">
        <v>81</v>
      </c>
      <c r="D134" s="6" t="s">
        <v>83</v>
      </c>
      <c r="E134" s="6">
        <v>24</v>
      </c>
      <c r="F134" s="6">
        <v>472</v>
      </c>
      <c r="G134" s="6">
        <f t="shared" si="2"/>
        <v>660</v>
      </c>
      <c r="H134" s="5">
        <f>tbl_Ventes[[#This Row],[PV]]*tbl_Ventes[[#This Row],[Qté]]</f>
        <v>15840</v>
      </c>
      <c r="I134" s="5">
        <f>tbl_Ventes[[#This Row],[Qté]]*(tbl_Ventes[[#This Row],[PV]]-tbl_Ventes[[#This Row],[PA]])</f>
        <v>4512</v>
      </c>
    </row>
    <row r="135" spans="1:9" x14ac:dyDescent="0.25">
      <c r="A135" s="7">
        <v>44728</v>
      </c>
      <c r="B135" s="6" t="s">
        <v>66</v>
      </c>
      <c r="C135" s="6" t="s">
        <v>80</v>
      </c>
      <c r="D135" s="6" t="s">
        <v>84</v>
      </c>
      <c r="E135" s="6">
        <v>10</v>
      </c>
      <c r="F135" s="6">
        <v>206</v>
      </c>
      <c r="G135" s="6">
        <f t="shared" si="2"/>
        <v>288</v>
      </c>
      <c r="H135" s="5">
        <f>tbl_Ventes[[#This Row],[PV]]*tbl_Ventes[[#This Row],[Qté]]</f>
        <v>2880</v>
      </c>
      <c r="I135" s="5">
        <f>tbl_Ventes[[#This Row],[Qté]]*(tbl_Ventes[[#This Row],[PV]]-tbl_Ventes[[#This Row],[PA]])</f>
        <v>820</v>
      </c>
    </row>
    <row r="136" spans="1:9" x14ac:dyDescent="0.25">
      <c r="A136" s="7">
        <v>44734</v>
      </c>
      <c r="B136" s="6" t="s">
        <v>69</v>
      </c>
      <c r="C136" s="6" t="s">
        <v>80</v>
      </c>
      <c r="D136" s="6" t="s">
        <v>82</v>
      </c>
      <c r="E136" s="6">
        <v>8</v>
      </c>
      <c r="F136" s="6">
        <v>213</v>
      </c>
      <c r="G136" s="6">
        <f t="shared" si="2"/>
        <v>298</v>
      </c>
      <c r="H136" s="5">
        <f>tbl_Ventes[[#This Row],[PV]]*tbl_Ventes[[#This Row],[Qté]]</f>
        <v>2384</v>
      </c>
      <c r="I136" s="5">
        <f>tbl_Ventes[[#This Row],[Qté]]*(tbl_Ventes[[#This Row],[PV]]-tbl_Ventes[[#This Row],[PA]])</f>
        <v>680</v>
      </c>
    </row>
    <row r="137" spans="1:9" x14ac:dyDescent="0.25">
      <c r="A137" s="7">
        <v>44734</v>
      </c>
      <c r="B137" s="6" t="s">
        <v>67</v>
      </c>
      <c r="C137" s="6" t="s">
        <v>80</v>
      </c>
      <c r="D137" s="6" t="s">
        <v>84</v>
      </c>
      <c r="E137" s="6">
        <v>10</v>
      </c>
      <c r="F137" s="6">
        <v>278</v>
      </c>
      <c r="G137" s="6">
        <f t="shared" si="2"/>
        <v>389</v>
      </c>
      <c r="H137" s="5">
        <f>tbl_Ventes[[#This Row],[PV]]*tbl_Ventes[[#This Row],[Qté]]</f>
        <v>3890</v>
      </c>
      <c r="I137" s="5">
        <f>tbl_Ventes[[#This Row],[Qté]]*(tbl_Ventes[[#This Row],[PV]]-tbl_Ventes[[#This Row],[PA]])</f>
        <v>1110</v>
      </c>
    </row>
    <row r="138" spans="1:9" x14ac:dyDescent="0.25">
      <c r="A138" s="7">
        <v>44740</v>
      </c>
      <c r="B138" s="6" t="s">
        <v>59</v>
      </c>
      <c r="C138" s="6" t="s">
        <v>80</v>
      </c>
      <c r="D138" s="6" t="s">
        <v>83</v>
      </c>
      <c r="E138" s="6">
        <v>21</v>
      </c>
      <c r="F138" s="6">
        <v>478</v>
      </c>
      <c r="G138" s="6">
        <f t="shared" si="2"/>
        <v>669</v>
      </c>
      <c r="H138" s="5">
        <f>tbl_Ventes[[#This Row],[PV]]*tbl_Ventes[[#This Row],[Qté]]</f>
        <v>14049</v>
      </c>
      <c r="I138" s="5">
        <f>tbl_Ventes[[#This Row],[Qté]]*(tbl_Ventes[[#This Row],[PV]]-tbl_Ventes[[#This Row],[PA]])</f>
        <v>4011</v>
      </c>
    </row>
    <row r="139" spans="1:9" x14ac:dyDescent="0.25">
      <c r="A139" s="7">
        <v>44740</v>
      </c>
      <c r="B139" s="6" t="s">
        <v>68</v>
      </c>
      <c r="C139" s="6" t="s">
        <v>80</v>
      </c>
      <c r="D139" s="6" t="s">
        <v>84</v>
      </c>
      <c r="E139" s="6">
        <v>19</v>
      </c>
      <c r="F139" s="6">
        <v>255</v>
      </c>
      <c r="G139" s="6">
        <f t="shared" si="2"/>
        <v>357</v>
      </c>
      <c r="H139" s="5">
        <f>tbl_Ventes[[#This Row],[PV]]*tbl_Ventes[[#This Row],[Qté]]</f>
        <v>6783</v>
      </c>
      <c r="I139" s="5">
        <f>tbl_Ventes[[#This Row],[Qté]]*(tbl_Ventes[[#This Row],[PV]]-tbl_Ventes[[#This Row],[PA]])</f>
        <v>1938</v>
      </c>
    </row>
    <row r="140" spans="1:9" x14ac:dyDescent="0.25">
      <c r="A140" s="7">
        <v>44746</v>
      </c>
      <c r="B140" s="6" t="s">
        <v>60</v>
      </c>
      <c r="C140" s="6" t="s">
        <v>80</v>
      </c>
      <c r="D140" s="6" t="s">
        <v>85</v>
      </c>
      <c r="E140" s="6">
        <v>13</v>
      </c>
      <c r="F140" s="6">
        <v>362</v>
      </c>
      <c r="G140" s="6">
        <f t="shared" si="2"/>
        <v>506</v>
      </c>
      <c r="H140" s="5">
        <f>tbl_Ventes[[#This Row],[PV]]*tbl_Ventes[[#This Row],[Qté]]</f>
        <v>6578</v>
      </c>
      <c r="I140" s="5">
        <f>tbl_Ventes[[#This Row],[Qté]]*(tbl_Ventes[[#This Row],[PV]]-tbl_Ventes[[#This Row],[PA]])</f>
        <v>1872</v>
      </c>
    </row>
    <row r="141" spans="1:9" x14ac:dyDescent="0.25">
      <c r="A141" s="7">
        <v>44746</v>
      </c>
      <c r="B141" s="6" t="s">
        <v>58</v>
      </c>
      <c r="C141" s="6" t="s">
        <v>78</v>
      </c>
      <c r="D141" s="6" t="s">
        <v>83</v>
      </c>
      <c r="E141" s="6">
        <v>14</v>
      </c>
      <c r="F141" s="6">
        <v>472</v>
      </c>
      <c r="G141" s="6">
        <f t="shared" si="2"/>
        <v>660</v>
      </c>
      <c r="H141" s="5">
        <f>tbl_Ventes[[#This Row],[PV]]*tbl_Ventes[[#This Row],[Qté]]</f>
        <v>9240</v>
      </c>
      <c r="I141" s="5">
        <f>tbl_Ventes[[#This Row],[Qté]]*(tbl_Ventes[[#This Row],[PV]]-tbl_Ventes[[#This Row],[PA]])</f>
        <v>2632</v>
      </c>
    </row>
    <row r="142" spans="1:9" x14ac:dyDescent="0.25">
      <c r="A142" s="7">
        <v>44752</v>
      </c>
      <c r="B142" s="6" t="s">
        <v>61</v>
      </c>
      <c r="C142" s="6" t="s">
        <v>79</v>
      </c>
      <c r="D142" s="6" t="s">
        <v>82</v>
      </c>
      <c r="E142" s="6">
        <v>5</v>
      </c>
      <c r="F142" s="6">
        <v>434</v>
      </c>
      <c r="G142" s="6">
        <f t="shared" si="2"/>
        <v>607</v>
      </c>
      <c r="H142" s="5">
        <f>tbl_Ventes[[#This Row],[PV]]*tbl_Ventes[[#This Row],[Qté]]</f>
        <v>3035</v>
      </c>
      <c r="I142" s="5">
        <f>tbl_Ventes[[#This Row],[Qté]]*(tbl_Ventes[[#This Row],[PV]]-tbl_Ventes[[#This Row],[PA]])</f>
        <v>865</v>
      </c>
    </row>
    <row r="143" spans="1:9" x14ac:dyDescent="0.25">
      <c r="A143" s="7">
        <v>44752</v>
      </c>
      <c r="B143" s="6" t="s">
        <v>69</v>
      </c>
      <c r="C143" s="6" t="s">
        <v>80</v>
      </c>
      <c r="D143" s="6" t="s">
        <v>83</v>
      </c>
      <c r="E143" s="6">
        <v>8</v>
      </c>
      <c r="F143" s="6">
        <v>213</v>
      </c>
      <c r="G143" s="6">
        <f t="shared" si="2"/>
        <v>298</v>
      </c>
      <c r="H143" s="5">
        <f>tbl_Ventes[[#This Row],[PV]]*tbl_Ventes[[#This Row],[Qté]]</f>
        <v>2384</v>
      </c>
      <c r="I143" s="5">
        <f>tbl_Ventes[[#This Row],[Qté]]*(tbl_Ventes[[#This Row],[PV]]-tbl_Ventes[[#This Row],[PA]])</f>
        <v>680</v>
      </c>
    </row>
    <row r="144" spans="1:9" x14ac:dyDescent="0.25">
      <c r="A144" s="7">
        <v>44758</v>
      </c>
      <c r="B144" s="6" t="s">
        <v>62</v>
      </c>
      <c r="C144" s="6" t="s">
        <v>80</v>
      </c>
      <c r="D144" s="6" t="s">
        <v>96</v>
      </c>
      <c r="E144" s="6">
        <v>7</v>
      </c>
      <c r="F144" s="6">
        <v>407</v>
      </c>
      <c r="G144" s="6">
        <f t="shared" si="2"/>
        <v>569</v>
      </c>
      <c r="H144" s="5">
        <f>tbl_Ventes[[#This Row],[PV]]*tbl_Ventes[[#This Row],[Qté]]</f>
        <v>3983</v>
      </c>
      <c r="I144" s="5">
        <f>tbl_Ventes[[#This Row],[Qté]]*(tbl_Ventes[[#This Row],[PV]]-tbl_Ventes[[#This Row],[PA]])</f>
        <v>1134</v>
      </c>
    </row>
    <row r="145" spans="1:9" x14ac:dyDescent="0.25">
      <c r="A145" s="7">
        <v>44758</v>
      </c>
      <c r="B145" s="6" t="s">
        <v>59</v>
      </c>
      <c r="C145" s="6" t="s">
        <v>79</v>
      </c>
      <c r="D145" s="6" t="s">
        <v>82</v>
      </c>
      <c r="E145" s="6">
        <v>15</v>
      </c>
      <c r="F145" s="6">
        <v>478</v>
      </c>
      <c r="G145" s="6">
        <f t="shared" si="2"/>
        <v>669</v>
      </c>
      <c r="H145" s="5">
        <f>tbl_Ventes[[#This Row],[PV]]*tbl_Ventes[[#This Row],[Qté]]</f>
        <v>10035</v>
      </c>
      <c r="I145" s="5">
        <f>tbl_Ventes[[#This Row],[Qté]]*(tbl_Ventes[[#This Row],[PV]]-tbl_Ventes[[#This Row],[PA]])</f>
        <v>2865</v>
      </c>
    </row>
    <row r="146" spans="1:9" x14ac:dyDescent="0.25">
      <c r="A146" s="7">
        <v>44764</v>
      </c>
      <c r="B146" s="6" t="s">
        <v>70</v>
      </c>
      <c r="C146" s="6" t="s">
        <v>78</v>
      </c>
      <c r="D146" s="6" t="s">
        <v>83</v>
      </c>
      <c r="E146" s="6">
        <v>25</v>
      </c>
      <c r="F146" s="6">
        <v>265</v>
      </c>
      <c r="G146" s="6">
        <f t="shared" si="2"/>
        <v>371</v>
      </c>
      <c r="H146" s="5">
        <f>tbl_Ventes[[#This Row],[PV]]*tbl_Ventes[[#This Row],[Qté]]</f>
        <v>9275</v>
      </c>
      <c r="I146" s="5">
        <f>tbl_Ventes[[#This Row],[Qté]]*(tbl_Ventes[[#This Row],[PV]]-tbl_Ventes[[#This Row],[PA]])</f>
        <v>2650</v>
      </c>
    </row>
    <row r="147" spans="1:9" x14ac:dyDescent="0.25">
      <c r="A147" s="7">
        <v>44764</v>
      </c>
      <c r="B147" s="6" t="s">
        <v>60</v>
      </c>
      <c r="C147" s="6" t="s">
        <v>80</v>
      </c>
      <c r="D147" s="6" t="s">
        <v>96</v>
      </c>
      <c r="E147" s="6">
        <v>23</v>
      </c>
      <c r="F147" s="6">
        <v>362</v>
      </c>
      <c r="G147" s="6">
        <f t="shared" si="2"/>
        <v>506</v>
      </c>
      <c r="H147" s="5">
        <f>tbl_Ventes[[#This Row],[PV]]*tbl_Ventes[[#This Row],[Qté]]</f>
        <v>11638</v>
      </c>
      <c r="I147" s="5">
        <f>tbl_Ventes[[#This Row],[Qté]]*(tbl_Ventes[[#This Row],[PV]]-tbl_Ventes[[#This Row],[PA]])</f>
        <v>3312</v>
      </c>
    </row>
    <row r="148" spans="1:9" x14ac:dyDescent="0.25">
      <c r="A148" s="7">
        <v>44770</v>
      </c>
      <c r="B148" s="6" t="s">
        <v>71</v>
      </c>
      <c r="C148" s="6" t="s">
        <v>81</v>
      </c>
      <c r="D148" s="6" t="s">
        <v>83</v>
      </c>
      <c r="E148" s="6">
        <v>23</v>
      </c>
      <c r="F148" s="6">
        <v>427</v>
      </c>
      <c r="G148" s="6">
        <f t="shared" si="2"/>
        <v>597</v>
      </c>
      <c r="H148" s="5">
        <f>tbl_Ventes[[#This Row],[PV]]*tbl_Ventes[[#This Row],[Qté]]</f>
        <v>13731</v>
      </c>
      <c r="I148" s="5">
        <f>tbl_Ventes[[#This Row],[Qté]]*(tbl_Ventes[[#This Row],[PV]]-tbl_Ventes[[#This Row],[PA]])</f>
        <v>3910</v>
      </c>
    </row>
    <row r="149" spans="1:9" x14ac:dyDescent="0.25">
      <c r="A149" s="7">
        <v>44770</v>
      </c>
      <c r="B149" s="6" t="s">
        <v>61</v>
      </c>
      <c r="C149" s="6" t="s">
        <v>78</v>
      </c>
      <c r="D149" s="6" t="s">
        <v>96</v>
      </c>
      <c r="E149" s="6">
        <v>19</v>
      </c>
      <c r="F149" s="6">
        <v>434</v>
      </c>
      <c r="G149" s="6">
        <f t="shared" si="2"/>
        <v>607</v>
      </c>
      <c r="H149" s="5">
        <f>tbl_Ventes[[#This Row],[PV]]*tbl_Ventes[[#This Row],[Qté]]</f>
        <v>11533</v>
      </c>
      <c r="I149" s="5">
        <f>tbl_Ventes[[#This Row],[Qté]]*(tbl_Ventes[[#This Row],[PV]]-tbl_Ventes[[#This Row],[PA]])</f>
        <v>3287</v>
      </c>
    </row>
    <row r="150" spans="1:9" x14ac:dyDescent="0.25">
      <c r="A150" s="7">
        <v>44776</v>
      </c>
      <c r="B150" s="6" t="s">
        <v>72</v>
      </c>
      <c r="C150" s="6" t="s">
        <v>78</v>
      </c>
      <c r="D150" s="6" t="s">
        <v>96</v>
      </c>
      <c r="E150" s="6">
        <v>11</v>
      </c>
      <c r="F150" s="6">
        <v>224</v>
      </c>
      <c r="G150" s="6">
        <f t="shared" si="2"/>
        <v>313</v>
      </c>
      <c r="H150" s="5">
        <f>tbl_Ventes[[#This Row],[PV]]*tbl_Ventes[[#This Row],[Qté]]</f>
        <v>3443</v>
      </c>
      <c r="I150" s="5">
        <f>tbl_Ventes[[#This Row],[Qté]]*(tbl_Ventes[[#This Row],[PV]]-tbl_Ventes[[#This Row],[PA]])</f>
        <v>979</v>
      </c>
    </row>
    <row r="151" spans="1:9" x14ac:dyDescent="0.25">
      <c r="A151" s="7">
        <v>44776</v>
      </c>
      <c r="B151" s="6" t="s">
        <v>62</v>
      </c>
      <c r="C151" s="6" t="s">
        <v>81</v>
      </c>
      <c r="D151" s="6" t="s">
        <v>84</v>
      </c>
      <c r="E151" s="6">
        <v>23</v>
      </c>
      <c r="F151" s="6">
        <v>407</v>
      </c>
      <c r="G151" s="6">
        <f t="shared" si="2"/>
        <v>569</v>
      </c>
      <c r="H151" s="5">
        <f>tbl_Ventes[[#This Row],[PV]]*tbl_Ventes[[#This Row],[Qté]]</f>
        <v>13087</v>
      </c>
      <c r="I151" s="5">
        <f>tbl_Ventes[[#This Row],[Qté]]*(tbl_Ventes[[#This Row],[PV]]-tbl_Ventes[[#This Row],[PA]])</f>
        <v>3726</v>
      </c>
    </row>
    <row r="152" spans="1:9" x14ac:dyDescent="0.25">
      <c r="A152" s="7">
        <v>44782</v>
      </c>
      <c r="B152" s="6" t="s">
        <v>73</v>
      </c>
      <c r="C152" s="6" t="s">
        <v>80</v>
      </c>
      <c r="D152" s="6" t="s">
        <v>96</v>
      </c>
      <c r="E152" s="6">
        <v>20</v>
      </c>
      <c r="F152" s="6">
        <v>270</v>
      </c>
      <c r="G152" s="6">
        <f t="shared" si="2"/>
        <v>378</v>
      </c>
      <c r="H152" s="5">
        <f>tbl_Ventes[[#This Row],[PV]]*tbl_Ventes[[#This Row],[Qté]]</f>
        <v>7560</v>
      </c>
      <c r="I152" s="5">
        <f>tbl_Ventes[[#This Row],[Qté]]*(tbl_Ventes[[#This Row],[PV]]-tbl_Ventes[[#This Row],[PA]])</f>
        <v>2160</v>
      </c>
    </row>
    <row r="153" spans="1:9" x14ac:dyDescent="0.25">
      <c r="A153" s="7">
        <v>44782</v>
      </c>
      <c r="B153" s="6" t="s">
        <v>70</v>
      </c>
      <c r="C153" s="6" t="s">
        <v>81</v>
      </c>
      <c r="D153" s="6" t="s">
        <v>84</v>
      </c>
      <c r="E153" s="6">
        <v>23</v>
      </c>
      <c r="F153" s="6">
        <v>265</v>
      </c>
      <c r="G153" s="6">
        <f t="shared" si="2"/>
        <v>371</v>
      </c>
      <c r="H153" s="5">
        <f>tbl_Ventes[[#This Row],[PV]]*tbl_Ventes[[#This Row],[Qté]]</f>
        <v>8533</v>
      </c>
      <c r="I153" s="5">
        <f>tbl_Ventes[[#This Row],[Qté]]*(tbl_Ventes[[#This Row],[PV]]-tbl_Ventes[[#This Row],[PA]])</f>
        <v>2438</v>
      </c>
    </row>
    <row r="154" spans="1:9" x14ac:dyDescent="0.25">
      <c r="A154" s="7">
        <v>44788</v>
      </c>
      <c r="B154" s="6" t="s">
        <v>74</v>
      </c>
      <c r="C154" s="6" t="s">
        <v>78</v>
      </c>
      <c r="D154" s="6" t="s">
        <v>85</v>
      </c>
      <c r="E154" s="6">
        <v>15</v>
      </c>
      <c r="F154" s="6">
        <v>385</v>
      </c>
      <c r="G154" s="6">
        <f t="shared" si="2"/>
        <v>539</v>
      </c>
      <c r="H154" s="5">
        <f>tbl_Ventes[[#This Row],[PV]]*tbl_Ventes[[#This Row],[Qté]]</f>
        <v>8085</v>
      </c>
      <c r="I154" s="5">
        <f>tbl_Ventes[[#This Row],[Qté]]*(tbl_Ventes[[#This Row],[PV]]-tbl_Ventes[[#This Row],[PA]])</f>
        <v>2310</v>
      </c>
    </row>
    <row r="155" spans="1:9" x14ac:dyDescent="0.25">
      <c r="A155" s="7">
        <v>44788</v>
      </c>
      <c r="B155" s="6" t="s">
        <v>71</v>
      </c>
      <c r="C155" s="6" t="s">
        <v>81</v>
      </c>
      <c r="D155" s="6" t="s">
        <v>83</v>
      </c>
      <c r="E155" s="6">
        <v>8</v>
      </c>
      <c r="F155" s="6">
        <v>427</v>
      </c>
      <c r="G155" s="6">
        <f t="shared" si="2"/>
        <v>597</v>
      </c>
      <c r="H155" s="5">
        <f>tbl_Ventes[[#This Row],[PV]]*tbl_Ventes[[#This Row],[Qté]]</f>
        <v>4776</v>
      </c>
      <c r="I155" s="5">
        <f>tbl_Ventes[[#This Row],[Qté]]*(tbl_Ventes[[#This Row],[PV]]-tbl_Ventes[[#This Row],[PA]])</f>
        <v>1360</v>
      </c>
    </row>
    <row r="156" spans="1:9" x14ac:dyDescent="0.25">
      <c r="A156" s="7">
        <v>44794</v>
      </c>
      <c r="B156" s="6" t="s">
        <v>75</v>
      </c>
      <c r="C156" s="6" t="s">
        <v>81</v>
      </c>
      <c r="D156" s="6" t="s">
        <v>96</v>
      </c>
      <c r="E156" s="6">
        <v>10</v>
      </c>
      <c r="F156" s="6">
        <v>105</v>
      </c>
      <c r="G156" s="6">
        <f t="shared" si="2"/>
        <v>147</v>
      </c>
      <c r="H156" s="5">
        <f>tbl_Ventes[[#This Row],[PV]]*tbl_Ventes[[#This Row],[Qté]]</f>
        <v>1470</v>
      </c>
      <c r="I156" s="5">
        <f>tbl_Ventes[[#This Row],[Qté]]*(tbl_Ventes[[#This Row],[PV]]-tbl_Ventes[[#This Row],[PA]])</f>
        <v>420</v>
      </c>
    </row>
    <row r="157" spans="1:9" x14ac:dyDescent="0.25">
      <c r="A157" s="7">
        <v>44794</v>
      </c>
      <c r="B157" s="6" t="s">
        <v>72</v>
      </c>
      <c r="C157" s="6" t="s">
        <v>78</v>
      </c>
      <c r="D157" s="6" t="s">
        <v>82</v>
      </c>
      <c r="E157" s="6">
        <v>21</v>
      </c>
      <c r="F157" s="6">
        <v>224</v>
      </c>
      <c r="G157" s="6">
        <f t="shared" si="2"/>
        <v>313</v>
      </c>
      <c r="H157" s="5">
        <f>tbl_Ventes[[#This Row],[PV]]*tbl_Ventes[[#This Row],[Qté]]</f>
        <v>6573</v>
      </c>
      <c r="I157" s="5">
        <f>tbl_Ventes[[#This Row],[Qté]]*(tbl_Ventes[[#This Row],[PV]]-tbl_Ventes[[#This Row],[PA]])</f>
        <v>1869</v>
      </c>
    </row>
    <row r="158" spans="1:9" x14ac:dyDescent="0.25">
      <c r="A158" s="7">
        <v>44794</v>
      </c>
      <c r="B158" s="6" t="s">
        <v>75</v>
      </c>
      <c r="C158" s="6" t="s">
        <v>79</v>
      </c>
      <c r="D158" s="6" t="s">
        <v>84</v>
      </c>
      <c r="E158" s="6">
        <v>19</v>
      </c>
      <c r="F158" s="6">
        <v>105</v>
      </c>
      <c r="G158" s="6">
        <f t="shared" si="2"/>
        <v>147</v>
      </c>
      <c r="H158" s="5">
        <f>tbl_Ventes[[#This Row],[PV]]*tbl_Ventes[[#This Row],[Qté]]</f>
        <v>2793</v>
      </c>
      <c r="I158" s="5">
        <f>tbl_Ventes[[#This Row],[Qté]]*(tbl_Ventes[[#This Row],[PV]]-tbl_Ventes[[#This Row],[PA]])</f>
        <v>798</v>
      </c>
    </row>
    <row r="159" spans="1:9" x14ac:dyDescent="0.25">
      <c r="A159" s="7">
        <v>44800</v>
      </c>
      <c r="B159" s="6" t="s">
        <v>76</v>
      </c>
      <c r="C159" s="6" t="s">
        <v>80</v>
      </c>
      <c r="D159" s="6" t="s">
        <v>84</v>
      </c>
      <c r="E159" s="6">
        <v>13</v>
      </c>
      <c r="F159" s="6">
        <v>382</v>
      </c>
      <c r="G159" s="6">
        <f t="shared" si="2"/>
        <v>534</v>
      </c>
      <c r="H159" s="5">
        <f>tbl_Ventes[[#This Row],[PV]]*tbl_Ventes[[#This Row],[Qté]]</f>
        <v>6942</v>
      </c>
      <c r="I159" s="5">
        <f>tbl_Ventes[[#This Row],[Qté]]*(tbl_Ventes[[#This Row],[PV]]-tbl_Ventes[[#This Row],[PA]])</f>
        <v>1976</v>
      </c>
    </row>
    <row r="160" spans="1:9" x14ac:dyDescent="0.25">
      <c r="A160" s="7">
        <v>44800</v>
      </c>
      <c r="B160" s="6" t="s">
        <v>73</v>
      </c>
      <c r="C160" s="6" t="s">
        <v>79</v>
      </c>
      <c r="D160" s="6" t="s">
        <v>96</v>
      </c>
      <c r="E160" s="6">
        <v>14</v>
      </c>
      <c r="F160" s="6">
        <v>270</v>
      </c>
      <c r="G160" s="6">
        <f t="shared" si="2"/>
        <v>378</v>
      </c>
      <c r="H160" s="5">
        <f>tbl_Ventes[[#This Row],[PV]]*tbl_Ventes[[#This Row],[Qté]]</f>
        <v>5292</v>
      </c>
      <c r="I160" s="5">
        <f>tbl_Ventes[[#This Row],[Qté]]*(tbl_Ventes[[#This Row],[PV]]-tbl_Ventes[[#This Row],[PA]])</f>
        <v>1512</v>
      </c>
    </row>
    <row r="161" spans="1:9" x14ac:dyDescent="0.25">
      <c r="A161" s="7">
        <v>44800</v>
      </c>
      <c r="B161" s="6" t="s">
        <v>76</v>
      </c>
      <c r="C161" s="6" t="s">
        <v>79</v>
      </c>
      <c r="D161" s="6" t="s">
        <v>83</v>
      </c>
      <c r="E161" s="6">
        <v>5</v>
      </c>
      <c r="F161" s="6">
        <v>382</v>
      </c>
      <c r="G161" s="6">
        <f t="shared" si="2"/>
        <v>534</v>
      </c>
      <c r="H161" s="5">
        <f>tbl_Ventes[[#This Row],[PV]]*tbl_Ventes[[#This Row],[Qté]]</f>
        <v>2670</v>
      </c>
      <c r="I161" s="5">
        <f>tbl_Ventes[[#This Row],[Qté]]*(tbl_Ventes[[#This Row],[PV]]-tbl_Ventes[[#This Row],[PA]])</f>
        <v>760</v>
      </c>
    </row>
    <row r="162" spans="1:9" x14ac:dyDescent="0.25">
      <c r="A162" s="7">
        <v>44806</v>
      </c>
      <c r="B162" s="6" t="s">
        <v>77</v>
      </c>
      <c r="C162" s="6" t="s">
        <v>79</v>
      </c>
      <c r="D162" s="6" t="s">
        <v>84</v>
      </c>
      <c r="E162" s="6">
        <v>8</v>
      </c>
      <c r="F162" s="6">
        <v>300</v>
      </c>
      <c r="G162" s="6">
        <f t="shared" si="2"/>
        <v>420</v>
      </c>
      <c r="H162" s="5">
        <f>tbl_Ventes[[#This Row],[PV]]*tbl_Ventes[[#This Row],[Qté]]</f>
        <v>3360</v>
      </c>
      <c r="I162" s="5">
        <f>tbl_Ventes[[#This Row],[Qté]]*(tbl_Ventes[[#This Row],[PV]]-tbl_Ventes[[#This Row],[PA]])</f>
        <v>960</v>
      </c>
    </row>
    <row r="163" spans="1:9" x14ac:dyDescent="0.25">
      <c r="A163" s="7">
        <v>44806</v>
      </c>
      <c r="B163" s="6" t="s">
        <v>74</v>
      </c>
      <c r="C163" s="6" t="s">
        <v>81</v>
      </c>
      <c r="D163" s="6" t="s">
        <v>85</v>
      </c>
      <c r="E163" s="6">
        <v>20</v>
      </c>
      <c r="F163" s="6">
        <v>385</v>
      </c>
      <c r="G163" s="6">
        <f t="shared" si="2"/>
        <v>539</v>
      </c>
      <c r="H163" s="5">
        <f>tbl_Ventes[[#This Row],[PV]]*tbl_Ventes[[#This Row],[Qté]]</f>
        <v>10780</v>
      </c>
      <c r="I163" s="5">
        <f>tbl_Ventes[[#This Row],[Qté]]*(tbl_Ventes[[#This Row],[PV]]-tbl_Ventes[[#This Row],[PA]])</f>
        <v>3080</v>
      </c>
    </row>
    <row r="164" spans="1:9" x14ac:dyDescent="0.25">
      <c r="A164" s="14">
        <v>44806</v>
      </c>
      <c r="B164" s="15" t="s">
        <v>77</v>
      </c>
      <c r="C164" s="15" t="s">
        <v>78</v>
      </c>
      <c r="D164" s="15" t="s">
        <v>84</v>
      </c>
      <c r="E164" s="15">
        <v>11</v>
      </c>
      <c r="F164" s="15">
        <v>300</v>
      </c>
      <c r="G164" s="15">
        <f t="shared" si="2"/>
        <v>420</v>
      </c>
      <c r="H164" s="5">
        <f>tbl_Ventes[[#This Row],[PV]]*tbl_Ventes[[#This Row],[Qté]]</f>
        <v>4620</v>
      </c>
      <c r="I164" s="5">
        <f>tbl_Ventes[[#This Row],[Qté]]*(tbl_Ventes[[#This Row],[PV]]-tbl_Ventes[[#This Row],[PA]])</f>
        <v>1320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7B74-592D-479D-A639-1320381AB538}">
  <sheetPr codeName="Feuil5"/>
  <dimension ref="A1:J57"/>
  <sheetViews>
    <sheetView workbookViewId="0">
      <selection activeCell="C20" sqref="A1:G57"/>
    </sheetView>
  </sheetViews>
  <sheetFormatPr baseColWidth="10" defaultColWidth="11.42578125" defaultRowHeight="15" x14ac:dyDescent="0.25"/>
  <sheetData>
    <row r="1" spans="1:10" x14ac:dyDescent="0.25">
      <c r="A1" s="7">
        <v>44836</v>
      </c>
      <c r="B1" s="6" t="s">
        <v>63</v>
      </c>
      <c r="C1" s="6" t="s">
        <v>80</v>
      </c>
      <c r="D1" s="6" t="s">
        <v>84</v>
      </c>
      <c r="E1" s="6">
        <v>12</v>
      </c>
      <c r="F1" s="6">
        <v>360</v>
      </c>
      <c r="G1" s="6">
        <v>315</v>
      </c>
      <c r="J1" s="3"/>
    </row>
    <row r="2" spans="1:10" x14ac:dyDescent="0.25">
      <c r="A2" s="7">
        <v>44849</v>
      </c>
      <c r="B2" s="6" t="s">
        <v>64</v>
      </c>
      <c r="C2" s="6" t="s">
        <v>81</v>
      </c>
      <c r="D2" s="6" t="s">
        <v>83</v>
      </c>
      <c r="E2" s="6">
        <v>12</v>
      </c>
      <c r="F2" s="6">
        <v>228</v>
      </c>
      <c r="G2" s="6">
        <v>392</v>
      </c>
    </row>
    <row r="3" spans="1:10" x14ac:dyDescent="0.25">
      <c r="A3" s="7">
        <v>44857</v>
      </c>
      <c r="B3" s="6" t="s">
        <v>65</v>
      </c>
      <c r="C3" s="6" t="s">
        <v>78</v>
      </c>
      <c r="D3" s="6" t="s">
        <v>96</v>
      </c>
      <c r="E3" s="6">
        <v>19</v>
      </c>
      <c r="F3" s="6">
        <v>474</v>
      </c>
      <c r="G3" s="6">
        <v>417</v>
      </c>
    </row>
    <row r="4" spans="1:10" x14ac:dyDescent="0.25">
      <c r="A4" s="7">
        <v>44863</v>
      </c>
      <c r="B4" s="6" t="s">
        <v>66</v>
      </c>
      <c r="C4" s="6" t="s">
        <v>81</v>
      </c>
      <c r="D4" s="6" t="s">
        <v>84</v>
      </c>
      <c r="E4" s="6">
        <v>11</v>
      </c>
      <c r="F4" s="6">
        <v>206</v>
      </c>
      <c r="G4" s="6">
        <v>631</v>
      </c>
    </row>
    <row r="5" spans="1:10" x14ac:dyDescent="0.25">
      <c r="A5" s="7">
        <v>44869</v>
      </c>
      <c r="B5" s="6" t="s">
        <v>67</v>
      </c>
      <c r="C5" s="6" t="s">
        <v>81</v>
      </c>
      <c r="D5" s="6" t="s">
        <v>82</v>
      </c>
      <c r="E5" s="6">
        <v>7</v>
      </c>
      <c r="F5" s="6">
        <v>278</v>
      </c>
      <c r="G5" s="6">
        <v>420</v>
      </c>
    </row>
    <row r="6" spans="1:10" x14ac:dyDescent="0.25">
      <c r="A6" s="7">
        <v>44875</v>
      </c>
      <c r="B6" s="6" t="s">
        <v>68</v>
      </c>
      <c r="C6" s="6" t="s">
        <v>81</v>
      </c>
      <c r="D6" s="6" t="s">
        <v>83</v>
      </c>
      <c r="E6" s="6">
        <v>9</v>
      </c>
      <c r="F6" s="6">
        <v>255</v>
      </c>
      <c r="G6" s="6">
        <v>589</v>
      </c>
    </row>
    <row r="7" spans="1:10" x14ac:dyDescent="0.25">
      <c r="A7" s="7">
        <v>44881</v>
      </c>
      <c r="B7" s="6" t="s">
        <v>58</v>
      </c>
      <c r="C7" s="6" t="s">
        <v>79</v>
      </c>
      <c r="D7" s="6" t="s">
        <v>84</v>
      </c>
      <c r="E7" s="6">
        <v>24</v>
      </c>
      <c r="F7" s="6">
        <v>472</v>
      </c>
      <c r="G7" s="6">
        <v>490</v>
      </c>
    </row>
    <row r="8" spans="1:10" x14ac:dyDescent="0.25">
      <c r="A8" s="7">
        <v>44887</v>
      </c>
      <c r="B8" s="6" t="s">
        <v>69</v>
      </c>
      <c r="C8" s="6" t="s">
        <v>80</v>
      </c>
      <c r="D8" s="6" t="s">
        <v>82</v>
      </c>
      <c r="E8" s="6">
        <v>22</v>
      </c>
      <c r="F8" s="6">
        <v>213</v>
      </c>
      <c r="G8" s="6">
        <v>561</v>
      </c>
    </row>
    <row r="9" spans="1:10" x14ac:dyDescent="0.25">
      <c r="A9" s="7">
        <v>44893</v>
      </c>
      <c r="B9" s="6" t="s">
        <v>59</v>
      </c>
      <c r="C9" s="6" t="s">
        <v>79</v>
      </c>
      <c r="D9" s="6" t="s">
        <v>96</v>
      </c>
      <c r="E9" s="6">
        <v>22</v>
      </c>
      <c r="F9" s="6">
        <v>478</v>
      </c>
      <c r="G9" s="6">
        <v>637</v>
      </c>
    </row>
    <row r="10" spans="1:10" x14ac:dyDescent="0.25">
      <c r="A10" s="7">
        <v>44899</v>
      </c>
      <c r="B10" s="6" t="s">
        <v>60</v>
      </c>
      <c r="C10" s="6" t="s">
        <v>78</v>
      </c>
      <c r="D10" s="6" t="s">
        <v>82</v>
      </c>
      <c r="E10" s="6">
        <v>21</v>
      </c>
      <c r="F10" s="6">
        <v>362</v>
      </c>
      <c r="G10" s="6">
        <v>392</v>
      </c>
    </row>
    <row r="11" spans="1:10" x14ac:dyDescent="0.25">
      <c r="A11" s="7">
        <v>44905</v>
      </c>
      <c r="B11" s="6" t="s">
        <v>61</v>
      </c>
      <c r="C11" s="6" t="s">
        <v>79</v>
      </c>
      <c r="D11" s="6" t="s">
        <v>85</v>
      </c>
      <c r="E11" s="6">
        <v>11</v>
      </c>
      <c r="F11" s="6">
        <v>434</v>
      </c>
      <c r="G11" s="6">
        <v>669</v>
      </c>
    </row>
    <row r="12" spans="1:10" x14ac:dyDescent="0.25">
      <c r="A12" s="7">
        <v>44911</v>
      </c>
      <c r="B12" s="6" t="s">
        <v>62</v>
      </c>
      <c r="C12" s="6" t="s">
        <v>79</v>
      </c>
      <c r="D12" s="6" t="s">
        <v>96</v>
      </c>
      <c r="E12" s="6">
        <v>7</v>
      </c>
      <c r="F12" s="6">
        <v>407</v>
      </c>
      <c r="G12" s="6">
        <v>401</v>
      </c>
    </row>
    <row r="13" spans="1:10" x14ac:dyDescent="0.25">
      <c r="A13" s="7">
        <v>44917</v>
      </c>
      <c r="B13" s="6" t="s">
        <v>70</v>
      </c>
      <c r="C13" s="6" t="s">
        <v>80</v>
      </c>
      <c r="D13" s="6" t="s">
        <v>96</v>
      </c>
      <c r="E13" s="6">
        <v>9</v>
      </c>
      <c r="F13" s="6">
        <v>265</v>
      </c>
      <c r="G13" s="6">
        <v>490</v>
      </c>
    </row>
    <row r="14" spans="1:10" x14ac:dyDescent="0.25">
      <c r="A14" s="7">
        <v>44923</v>
      </c>
      <c r="B14" s="6" t="s">
        <v>71</v>
      </c>
      <c r="C14" s="6" t="s">
        <v>80</v>
      </c>
      <c r="D14" s="6" t="s">
        <v>96</v>
      </c>
      <c r="E14" s="6">
        <v>12</v>
      </c>
      <c r="F14" s="6">
        <v>427</v>
      </c>
      <c r="G14" s="6">
        <v>175</v>
      </c>
    </row>
    <row r="15" spans="1:10" x14ac:dyDescent="0.25">
      <c r="A15" s="7">
        <v>44837</v>
      </c>
      <c r="B15" s="6" t="s">
        <v>72</v>
      </c>
      <c r="C15" s="6" t="s">
        <v>80</v>
      </c>
      <c r="D15" s="6" t="s">
        <v>85</v>
      </c>
      <c r="E15" s="6">
        <v>9</v>
      </c>
      <c r="F15" s="6">
        <v>224</v>
      </c>
      <c r="G15" s="6">
        <v>205</v>
      </c>
    </row>
    <row r="16" spans="1:10" x14ac:dyDescent="0.25">
      <c r="A16" s="7">
        <v>44843</v>
      </c>
      <c r="B16" s="6" t="s">
        <v>73</v>
      </c>
      <c r="C16" s="6" t="s">
        <v>80</v>
      </c>
      <c r="D16" s="6" t="s">
        <v>82</v>
      </c>
      <c r="E16" s="6">
        <v>9</v>
      </c>
      <c r="F16" s="6">
        <v>270</v>
      </c>
      <c r="G16" s="6">
        <v>546</v>
      </c>
    </row>
    <row r="17" spans="1:7" x14ac:dyDescent="0.25">
      <c r="A17" s="7">
        <v>44849</v>
      </c>
      <c r="B17" s="6" t="s">
        <v>74</v>
      </c>
      <c r="C17" s="6" t="s">
        <v>79</v>
      </c>
      <c r="D17" s="6" t="s">
        <v>84</v>
      </c>
      <c r="E17" s="6">
        <v>13</v>
      </c>
      <c r="F17" s="6">
        <v>385</v>
      </c>
      <c r="G17" s="6">
        <v>498</v>
      </c>
    </row>
    <row r="18" spans="1:7" x14ac:dyDescent="0.25">
      <c r="A18" s="7">
        <v>44855</v>
      </c>
      <c r="B18" s="6" t="s">
        <v>75</v>
      </c>
      <c r="C18" s="6" t="s">
        <v>81</v>
      </c>
      <c r="D18" s="6" t="s">
        <v>84</v>
      </c>
      <c r="E18" s="6">
        <v>17</v>
      </c>
      <c r="F18" s="6">
        <v>105</v>
      </c>
      <c r="G18" s="6">
        <v>504</v>
      </c>
    </row>
    <row r="19" spans="1:7" x14ac:dyDescent="0.25">
      <c r="A19" s="7">
        <v>44861</v>
      </c>
      <c r="B19" s="6" t="s">
        <v>76</v>
      </c>
      <c r="C19" s="6" t="s">
        <v>78</v>
      </c>
      <c r="D19" s="6" t="s">
        <v>83</v>
      </c>
      <c r="E19" s="6">
        <v>23</v>
      </c>
      <c r="F19" s="6">
        <v>382</v>
      </c>
      <c r="G19" s="6">
        <v>319</v>
      </c>
    </row>
    <row r="20" spans="1:7" x14ac:dyDescent="0.25">
      <c r="A20" s="7">
        <v>44836</v>
      </c>
      <c r="B20" s="6" t="s">
        <v>63</v>
      </c>
      <c r="C20" s="6" t="s">
        <v>80</v>
      </c>
      <c r="D20" s="6" t="s">
        <v>83</v>
      </c>
      <c r="E20" s="6">
        <v>12</v>
      </c>
      <c r="F20" s="6">
        <v>360</v>
      </c>
      <c r="G20" s="6">
        <v>663</v>
      </c>
    </row>
    <row r="21" spans="1:7" x14ac:dyDescent="0.25">
      <c r="A21" s="7">
        <v>44849</v>
      </c>
      <c r="B21" s="6" t="s">
        <v>64</v>
      </c>
      <c r="C21" s="6" t="s">
        <v>79</v>
      </c>
      <c r="D21" s="6" t="s">
        <v>82</v>
      </c>
      <c r="E21" s="6">
        <v>12</v>
      </c>
      <c r="F21" s="6">
        <v>228</v>
      </c>
      <c r="G21" s="6">
        <f>INT(F21*1.5)</f>
        <v>342</v>
      </c>
    </row>
    <row r="22" spans="1:7" x14ac:dyDescent="0.25">
      <c r="A22" s="7">
        <v>44857</v>
      </c>
      <c r="B22" s="6" t="s">
        <v>65</v>
      </c>
      <c r="C22" s="6" t="s">
        <v>80</v>
      </c>
      <c r="D22" s="6" t="s">
        <v>96</v>
      </c>
      <c r="E22" s="6">
        <v>19</v>
      </c>
      <c r="F22" s="6">
        <v>474</v>
      </c>
      <c r="G22" s="6">
        <f t="shared" ref="G22:G57" si="0">INT(F22*1.5)</f>
        <v>711</v>
      </c>
    </row>
    <row r="23" spans="1:7" x14ac:dyDescent="0.25">
      <c r="A23" s="7">
        <v>44863</v>
      </c>
      <c r="B23" s="6" t="s">
        <v>66</v>
      </c>
      <c r="C23" s="6" t="s">
        <v>79</v>
      </c>
      <c r="D23" s="6" t="s">
        <v>83</v>
      </c>
      <c r="E23" s="6">
        <v>11</v>
      </c>
      <c r="F23" s="6">
        <v>362</v>
      </c>
      <c r="G23" s="6">
        <f t="shared" si="0"/>
        <v>543</v>
      </c>
    </row>
    <row r="24" spans="1:7" x14ac:dyDescent="0.25">
      <c r="A24" s="7">
        <v>44869</v>
      </c>
      <c r="B24" s="6" t="s">
        <v>67</v>
      </c>
      <c r="C24" s="6" t="s">
        <v>78</v>
      </c>
      <c r="D24" s="6" t="s">
        <v>85</v>
      </c>
      <c r="E24" s="6">
        <v>7</v>
      </c>
      <c r="F24" s="6">
        <v>434</v>
      </c>
      <c r="G24" s="6">
        <f t="shared" si="0"/>
        <v>651</v>
      </c>
    </row>
    <row r="25" spans="1:7" x14ac:dyDescent="0.25">
      <c r="A25" s="7">
        <v>44875</v>
      </c>
      <c r="B25" s="6" t="s">
        <v>68</v>
      </c>
      <c r="C25" s="6" t="s">
        <v>81</v>
      </c>
      <c r="D25" s="6" t="s">
        <v>85</v>
      </c>
      <c r="E25" s="6">
        <v>9</v>
      </c>
      <c r="F25" s="6">
        <v>407</v>
      </c>
      <c r="G25" s="6">
        <f t="shared" si="0"/>
        <v>610</v>
      </c>
    </row>
    <row r="26" spans="1:7" x14ac:dyDescent="0.25">
      <c r="A26" s="7">
        <v>44881</v>
      </c>
      <c r="B26" s="6" t="s">
        <v>58</v>
      </c>
      <c r="C26" s="6" t="s">
        <v>78</v>
      </c>
      <c r="D26" s="6" t="s">
        <v>83</v>
      </c>
      <c r="E26" s="6">
        <v>24</v>
      </c>
      <c r="F26" s="6">
        <v>265</v>
      </c>
      <c r="G26" s="6">
        <f t="shared" si="0"/>
        <v>397</v>
      </c>
    </row>
    <row r="27" spans="1:7" x14ac:dyDescent="0.25">
      <c r="A27" s="7">
        <v>44887</v>
      </c>
      <c r="B27" s="6" t="s">
        <v>69</v>
      </c>
      <c r="C27" s="6" t="s">
        <v>81</v>
      </c>
      <c r="D27" s="6" t="s">
        <v>83</v>
      </c>
      <c r="E27" s="6">
        <v>22</v>
      </c>
      <c r="F27" s="6">
        <v>427</v>
      </c>
      <c r="G27" s="6">
        <f t="shared" si="0"/>
        <v>640</v>
      </c>
    </row>
    <row r="28" spans="1:7" x14ac:dyDescent="0.25">
      <c r="A28" s="7">
        <v>44893</v>
      </c>
      <c r="B28" s="6" t="s">
        <v>59</v>
      </c>
      <c r="C28" s="6" t="s">
        <v>81</v>
      </c>
      <c r="D28" s="6" t="s">
        <v>96</v>
      </c>
      <c r="E28" s="6">
        <v>22</v>
      </c>
      <c r="F28" s="6">
        <v>224</v>
      </c>
      <c r="G28" s="6">
        <f t="shared" si="0"/>
        <v>336</v>
      </c>
    </row>
    <row r="29" spans="1:7" x14ac:dyDescent="0.25">
      <c r="A29" s="7">
        <v>44899</v>
      </c>
      <c r="B29" s="6" t="s">
        <v>60</v>
      </c>
      <c r="C29" s="6" t="s">
        <v>81</v>
      </c>
      <c r="D29" s="6" t="s">
        <v>96</v>
      </c>
      <c r="E29" s="6">
        <v>21</v>
      </c>
      <c r="F29" s="6">
        <v>270</v>
      </c>
      <c r="G29" s="6">
        <f t="shared" si="0"/>
        <v>405</v>
      </c>
    </row>
    <row r="30" spans="1:7" x14ac:dyDescent="0.25">
      <c r="A30" s="7">
        <v>44905</v>
      </c>
      <c r="B30" s="6" t="s">
        <v>61</v>
      </c>
      <c r="C30" s="6" t="s">
        <v>80</v>
      </c>
      <c r="D30" s="6" t="s">
        <v>85</v>
      </c>
      <c r="E30" s="6">
        <v>11</v>
      </c>
      <c r="F30" s="6">
        <v>385</v>
      </c>
      <c r="G30" s="6">
        <f t="shared" si="0"/>
        <v>577</v>
      </c>
    </row>
    <row r="31" spans="1:7" x14ac:dyDescent="0.25">
      <c r="A31" s="7">
        <v>44911</v>
      </c>
      <c r="B31" s="6" t="s">
        <v>62</v>
      </c>
      <c r="C31" s="6" t="s">
        <v>78</v>
      </c>
      <c r="D31" s="6" t="s">
        <v>84</v>
      </c>
      <c r="E31" s="6">
        <v>7</v>
      </c>
      <c r="F31" s="6">
        <v>105</v>
      </c>
      <c r="G31" s="6">
        <f t="shared" si="0"/>
        <v>157</v>
      </c>
    </row>
    <row r="32" spans="1:7" x14ac:dyDescent="0.25">
      <c r="A32" s="7">
        <v>44917</v>
      </c>
      <c r="B32" s="6" t="s">
        <v>70</v>
      </c>
      <c r="C32" s="6" t="s">
        <v>79</v>
      </c>
      <c r="D32" s="6" t="s">
        <v>85</v>
      </c>
      <c r="E32" s="6">
        <v>9</v>
      </c>
      <c r="F32" s="6">
        <v>382</v>
      </c>
      <c r="G32" s="6">
        <f t="shared" si="0"/>
        <v>573</v>
      </c>
    </row>
    <row r="33" spans="1:7" x14ac:dyDescent="0.25">
      <c r="A33" s="7">
        <v>44923</v>
      </c>
      <c r="B33" s="6" t="s">
        <v>71</v>
      </c>
      <c r="C33" s="6" t="s">
        <v>81</v>
      </c>
      <c r="D33" s="6" t="s">
        <v>85</v>
      </c>
      <c r="E33" s="6">
        <v>12</v>
      </c>
      <c r="F33" s="6">
        <v>360</v>
      </c>
      <c r="G33" s="6">
        <f t="shared" si="0"/>
        <v>540</v>
      </c>
    </row>
    <row r="34" spans="1:7" x14ac:dyDescent="0.25">
      <c r="A34" s="7">
        <v>44837</v>
      </c>
      <c r="B34" s="6" t="s">
        <v>72</v>
      </c>
      <c r="C34" s="6" t="s">
        <v>79</v>
      </c>
      <c r="D34" s="6" t="s">
        <v>83</v>
      </c>
      <c r="E34" s="6">
        <v>9</v>
      </c>
      <c r="F34" s="6">
        <v>228</v>
      </c>
      <c r="G34" s="6">
        <f t="shared" si="0"/>
        <v>342</v>
      </c>
    </row>
    <row r="35" spans="1:7" x14ac:dyDescent="0.25">
      <c r="A35" s="7">
        <v>44843</v>
      </c>
      <c r="B35" s="6" t="s">
        <v>73</v>
      </c>
      <c r="C35" s="6" t="s">
        <v>80</v>
      </c>
      <c r="D35" s="6" t="s">
        <v>82</v>
      </c>
      <c r="E35" s="6">
        <v>9</v>
      </c>
      <c r="F35" s="6">
        <v>474</v>
      </c>
      <c r="G35" s="6">
        <f t="shared" si="0"/>
        <v>711</v>
      </c>
    </row>
    <row r="36" spans="1:7" x14ac:dyDescent="0.25">
      <c r="A36" s="7">
        <v>44849</v>
      </c>
      <c r="B36" s="6" t="s">
        <v>74</v>
      </c>
      <c r="C36" s="6" t="s">
        <v>79</v>
      </c>
      <c r="D36" s="6" t="s">
        <v>85</v>
      </c>
      <c r="E36" s="6">
        <v>13</v>
      </c>
      <c r="F36" s="6">
        <v>362</v>
      </c>
      <c r="G36" s="6">
        <f t="shared" si="0"/>
        <v>543</v>
      </c>
    </row>
    <row r="37" spans="1:7" x14ac:dyDescent="0.25">
      <c r="A37" s="7">
        <v>44855</v>
      </c>
      <c r="B37" s="6" t="s">
        <v>75</v>
      </c>
      <c r="C37" s="6" t="s">
        <v>78</v>
      </c>
      <c r="D37" s="6" t="s">
        <v>82</v>
      </c>
      <c r="E37" s="6">
        <v>17</v>
      </c>
      <c r="F37" s="6">
        <v>434</v>
      </c>
      <c r="G37" s="6">
        <f t="shared" si="0"/>
        <v>651</v>
      </c>
    </row>
    <row r="38" spans="1:7" x14ac:dyDescent="0.25">
      <c r="A38" s="7">
        <v>44861</v>
      </c>
      <c r="B38" s="6" t="s">
        <v>76</v>
      </c>
      <c r="C38" s="6" t="s">
        <v>80</v>
      </c>
      <c r="D38" s="6" t="s">
        <v>96</v>
      </c>
      <c r="E38" s="6">
        <v>23</v>
      </c>
      <c r="F38" s="6">
        <v>407</v>
      </c>
      <c r="G38" s="6">
        <f t="shared" si="0"/>
        <v>610</v>
      </c>
    </row>
    <row r="39" spans="1:7" x14ac:dyDescent="0.25">
      <c r="A39" s="7">
        <v>44836</v>
      </c>
      <c r="B39" s="6" t="s">
        <v>63</v>
      </c>
      <c r="C39" s="6" t="s">
        <v>81</v>
      </c>
      <c r="D39" s="6" t="s">
        <v>85</v>
      </c>
      <c r="E39" s="6">
        <v>12</v>
      </c>
      <c r="F39" s="6">
        <v>265</v>
      </c>
      <c r="G39" s="6">
        <f t="shared" si="0"/>
        <v>397</v>
      </c>
    </row>
    <row r="40" spans="1:7" x14ac:dyDescent="0.25">
      <c r="A40" s="7">
        <v>44849</v>
      </c>
      <c r="B40" s="6" t="s">
        <v>64</v>
      </c>
      <c r="C40" s="6" t="s">
        <v>80</v>
      </c>
      <c r="D40" s="6" t="s">
        <v>83</v>
      </c>
      <c r="E40" s="6">
        <v>12</v>
      </c>
      <c r="F40" s="6">
        <v>427</v>
      </c>
      <c r="G40" s="6">
        <f t="shared" si="0"/>
        <v>640</v>
      </c>
    </row>
    <row r="41" spans="1:7" x14ac:dyDescent="0.25">
      <c r="A41" s="7">
        <v>44857</v>
      </c>
      <c r="B41" s="6" t="s">
        <v>65</v>
      </c>
      <c r="C41" s="6" t="s">
        <v>78</v>
      </c>
      <c r="D41" s="6" t="s">
        <v>84</v>
      </c>
      <c r="E41" s="6">
        <v>19</v>
      </c>
      <c r="F41" s="6">
        <v>224</v>
      </c>
      <c r="G41" s="6">
        <f t="shared" si="0"/>
        <v>336</v>
      </c>
    </row>
    <row r="42" spans="1:7" x14ac:dyDescent="0.25">
      <c r="A42" s="7">
        <v>44863</v>
      </c>
      <c r="B42" s="6" t="s">
        <v>66</v>
      </c>
      <c r="C42" s="6" t="s">
        <v>79</v>
      </c>
      <c r="D42" s="6" t="s">
        <v>85</v>
      </c>
      <c r="E42" s="6">
        <v>11</v>
      </c>
      <c r="F42" s="6">
        <v>270</v>
      </c>
      <c r="G42" s="6">
        <f t="shared" si="0"/>
        <v>405</v>
      </c>
    </row>
    <row r="43" spans="1:7" x14ac:dyDescent="0.25">
      <c r="A43" s="7">
        <v>44869</v>
      </c>
      <c r="B43" s="6" t="s">
        <v>67</v>
      </c>
      <c r="C43" s="6" t="s">
        <v>81</v>
      </c>
      <c r="D43" s="6" t="s">
        <v>85</v>
      </c>
      <c r="E43" s="6">
        <v>7</v>
      </c>
      <c r="F43" s="6">
        <v>385</v>
      </c>
      <c r="G43" s="6">
        <f t="shared" si="0"/>
        <v>577</v>
      </c>
    </row>
    <row r="44" spans="1:7" x14ac:dyDescent="0.25">
      <c r="A44" s="7">
        <v>44875</v>
      </c>
      <c r="B44" s="6" t="s">
        <v>68</v>
      </c>
      <c r="C44" s="6" t="s">
        <v>79</v>
      </c>
      <c r="D44" s="6" t="s">
        <v>83</v>
      </c>
      <c r="E44" s="6">
        <v>9</v>
      </c>
      <c r="F44" s="6">
        <v>105</v>
      </c>
      <c r="G44" s="6">
        <f t="shared" si="0"/>
        <v>157</v>
      </c>
    </row>
    <row r="45" spans="1:7" x14ac:dyDescent="0.25">
      <c r="A45" s="7">
        <v>44881</v>
      </c>
      <c r="B45" s="6" t="s">
        <v>58</v>
      </c>
      <c r="C45" s="6" t="s">
        <v>80</v>
      </c>
      <c r="D45" s="6" t="s">
        <v>82</v>
      </c>
      <c r="E45" s="6">
        <v>24</v>
      </c>
      <c r="F45" s="6">
        <v>382</v>
      </c>
      <c r="G45" s="6">
        <f t="shared" si="0"/>
        <v>573</v>
      </c>
    </row>
    <row r="46" spans="1:7" x14ac:dyDescent="0.25">
      <c r="A46" s="7">
        <v>44887</v>
      </c>
      <c r="B46" s="6" t="s">
        <v>69</v>
      </c>
      <c r="C46" s="6" t="s">
        <v>79</v>
      </c>
      <c r="D46" s="6" t="s">
        <v>85</v>
      </c>
      <c r="E46" s="6">
        <v>22</v>
      </c>
      <c r="F46" s="6">
        <v>360</v>
      </c>
      <c r="G46" s="6">
        <f t="shared" si="0"/>
        <v>540</v>
      </c>
    </row>
    <row r="47" spans="1:7" x14ac:dyDescent="0.25">
      <c r="A47" s="7">
        <v>44893</v>
      </c>
      <c r="B47" s="6" t="s">
        <v>59</v>
      </c>
      <c r="C47" s="6" t="s">
        <v>78</v>
      </c>
      <c r="D47" s="6" t="s">
        <v>82</v>
      </c>
      <c r="E47" s="6">
        <v>22</v>
      </c>
      <c r="F47" s="6">
        <v>228</v>
      </c>
      <c r="G47" s="6">
        <f t="shared" si="0"/>
        <v>342</v>
      </c>
    </row>
    <row r="48" spans="1:7" x14ac:dyDescent="0.25">
      <c r="A48" s="7">
        <v>44899</v>
      </c>
      <c r="B48" s="6" t="s">
        <v>60</v>
      </c>
      <c r="C48" s="6" t="s">
        <v>78</v>
      </c>
      <c r="D48" s="6" t="s">
        <v>84</v>
      </c>
      <c r="E48" s="6">
        <v>21</v>
      </c>
      <c r="F48" s="6">
        <v>474</v>
      </c>
      <c r="G48" s="6">
        <f t="shared" si="0"/>
        <v>711</v>
      </c>
    </row>
    <row r="49" spans="1:7" x14ac:dyDescent="0.25">
      <c r="A49" s="7">
        <v>44905</v>
      </c>
      <c r="B49" s="6" t="s">
        <v>61</v>
      </c>
      <c r="C49" s="6" t="s">
        <v>79</v>
      </c>
      <c r="D49" s="6" t="s">
        <v>85</v>
      </c>
      <c r="E49" s="6">
        <v>11</v>
      </c>
      <c r="F49" s="6">
        <v>434</v>
      </c>
      <c r="G49" s="6">
        <f t="shared" si="0"/>
        <v>651</v>
      </c>
    </row>
    <row r="50" spans="1:7" x14ac:dyDescent="0.25">
      <c r="A50" s="7">
        <v>44911</v>
      </c>
      <c r="B50" s="6" t="s">
        <v>62</v>
      </c>
      <c r="C50" s="6" t="s">
        <v>81</v>
      </c>
      <c r="D50" s="6" t="s">
        <v>85</v>
      </c>
      <c r="E50" s="6">
        <v>7</v>
      </c>
      <c r="F50" s="6">
        <v>407</v>
      </c>
      <c r="G50" s="6">
        <f t="shared" si="0"/>
        <v>610</v>
      </c>
    </row>
    <row r="51" spans="1:7" x14ac:dyDescent="0.25">
      <c r="A51" s="7">
        <v>44917</v>
      </c>
      <c r="B51" s="6" t="s">
        <v>70</v>
      </c>
      <c r="C51" s="6" t="s">
        <v>79</v>
      </c>
      <c r="D51" s="6" t="s">
        <v>83</v>
      </c>
      <c r="E51" s="6">
        <v>9</v>
      </c>
      <c r="F51" s="6">
        <v>265</v>
      </c>
      <c r="G51" s="6">
        <f t="shared" si="0"/>
        <v>397</v>
      </c>
    </row>
    <row r="52" spans="1:7" x14ac:dyDescent="0.25">
      <c r="A52" s="7">
        <v>44923</v>
      </c>
      <c r="B52" s="6" t="s">
        <v>71</v>
      </c>
      <c r="C52" s="6" t="s">
        <v>80</v>
      </c>
      <c r="D52" s="6" t="s">
        <v>82</v>
      </c>
      <c r="E52" s="6">
        <v>12</v>
      </c>
      <c r="F52" s="6">
        <v>427</v>
      </c>
      <c r="G52" s="6">
        <f t="shared" si="0"/>
        <v>640</v>
      </c>
    </row>
    <row r="53" spans="1:7" x14ac:dyDescent="0.25">
      <c r="A53" s="7">
        <v>44837</v>
      </c>
      <c r="B53" s="6" t="s">
        <v>72</v>
      </c>
      <c r="C53" s="6" t="s">
        <v>79</v>
      </c>
      <c r="D53" s="6" t="s">
        <v>85</v>
      </c>
      <c r="E53" s="6">
        <v>9</v>
      </c>
      <c r="F53" s="6">
        <v>224</v>
      </c>
      <c r="G53" s="6">
        <f t="shared" si="0"/>
        <v>336</v>
      </c>
    </row>
    <row r="54" spans="1:7" x14ac:dyDescent="0.25">
      <c r="A54" s="7">
        <v>44843</v>
      </c>
      <c r="B54" s="6" t="s">
        <v>73</v>
      </c>
      <c r="C54" s="6" t="s">
        <v>78</v>
      </c>
      <c r="D54" s="6" t="s">
        <v>82</v>
      </c>
      <c r="E54" s="6">
        <v>9</v>
      </c>
      <c r="F54" s="6">
        <v>270</v>
      </c>
      <c r="G54" s="6">
        <f t="shared" si="0"/>
        <v>405</v>
      </c>
    </row>
    <row r="55" spans="1:7" x14ac:dyDescent="0.25">
      <c r="A55" s="7">
        <v>44849</v>
      </c>
      <c r="B55" s="6" t="s">
        <v>74</v>
      </c>
      <c r="C55" s="6" t="s">
        <v>80</v>
      </c>
      <c r="D55" s="6" t="s">
        <v>96</v>
      </c>
      <c r="E55" s="6">
        <v>13</v>
      </c>
      <c r="F55" s="6">
        <v>385</v>
      </c>
      <c r="G55" s="6">
        <f t="shared" si="0"/>
        <v>577</v>
      </c>
    </row>
    <row r="56" spans="1:7" x14ac:dyDescent="0.25">
      <c r="A56" s="7">
        <v>44855</v>
      </c>
      <c r="B56" s="6" t="s">
        <v>75</v>
      </c>
      <c r="C56" s="6" t="s">
        <v>81</v>
      </c>
      <c r="D56" s="6" t="s">
        <v>85</v>
      </c>
      <c r="E56" s="6">
        <v>17</v>
      </c>
      <c r="F56" s="6">
        <v>105</v>
      </c>
      <c r="G56" s="6">
        <f t="shared" si="0"/>
        <v>157</v>
      </c>
    </row>
    <row r="57" spans="1:7" x14ac:dyDescent="0.25">
      <c r="A57" s="7">
        <v>44861</v>
      </c>
      <c r="B57" s="6" t="s">
        <v>76</v>
      </c>
      <c r="C57" s="6" t="s">
        <v>80</v>
      </c>
      <c r="D57" s="6" t="s">
        <v>83</v>
      </c>
      <c r="E57" s="6">
        <v>23</v>
      </c>
      <c r="F57" s="6">
        <v>382</v>
      </c>
      <c r="G57" s="6">
        <f t="shared" si="0"/>
        <v>573</v>
      </c>
    </row>
  </sheetData>
  <sortState xmlns:xlrd2="http://schemas.microsoft.com/office/spreadsheetml/2017/richdata2" ref="A1:G40">
    <sortCondition ref="A1:A4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3" ma:contentTypeDescription="Crée un document." ma:contentTypeScope="" ma:versionID="ee61e397712e1b6dc7739e32d7ccec9d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98486b18ee558285ff8da1122274ee2d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4A55CB5E-845A-4282-B3DC-F1264D4E275E}">
  <ds:schemaRefs>
    <ds:schemaRef ds:uri="http://gemini/pivotcustomization/TableXML_Tableau1"/>
  </ds:schemaRefs>
</ds:datastoreItem>
</file>

<file path=customXml/itemProps2.xml><?xml version="1.0" encoding="utf-8"?>
<ds:datastoreItem xmlns:ds="http://schemas.openxmlformats.org/officeDocument/2006/customXml" ds:itemID="{33105235-9D82-4F23-B12E-2FFB42F3829A}">
  <ds:schemaRefs>
    <ds:schemaRef ds:uri="http://gemini/pivotcustomization/TableWidget"/>
  </ds:schemaRefs>
</ds:datastoreItem>
</file>

<file path=customXml/itemProps3.xml><?xml version="1.0" encoding="utf-8"?>
<ds:datastoreItem xmlns:ds="http://schemas.openxmlformats.org/officeDocument/2006/customXml" ds:itemID="{752A2B7F-BDFA-4ABE-B20C-326A2054C5D5}">
  <ds:schemaRefs>
    <ds:schemaRef ds:uri="http://gemini/pivotcustomization/LinkedTableUpdateMode"/>
  </ds:schemaRefs>
</ds:datastoreItem>
</file>

<file path=customXml/itemProps4.xml><?xml version="1.0" encoding="utf-8"?>
<ds:datastoreItem xmlns:ds="http://schemas.openxmlformats.org/officeDocument/2006/customXml" ds:itemID="{976FD8F5-6545-4AA9-8727-A8B6D16B83CA}">
  <ds:schemaRefs>
    <ds:schemaRef ds:uri="http://gemini/pivotcustomization/SandboxNonEmpty"/>
  </ds:schemaRefs>
</ds:datastoreItem>
</file>

<file path=customXml/itemProps5.xml><?xml version="1.0" encoding="utf-8"?>
<ds:datastoreItem xmlns:ds="http://schemas.openxmlformats.org/officeDocument/2006/customXml" ds:itemID="{DF3A863B-FB19-43A3-83BE-D5E7C8D2D169}">
  <ds:schemaRefs>
    <ds:schemaRef ds:uri="http://gemini/pivotcustomization/RelationshipAutoDetectionEnabled"/>
  </ds:schemaRefs>
</ds:datastoreItem>
</file>

<file path=customXml/itemProps6.xml><?xml version="1.0" encoding="utf-8"?>
<ds:datastoreItem xmlns:ds="http://schemas.openxmlformats.org/officeDocument/2006/customXml" ds:itemID="{5478576B-1CDA-4EDB-B5FF-0ACC204F54A7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FBF2FF1D-256F-4B70-BF7F-CD00C3393608}">
  <ds:schemaRefs>
    <ds:schemaRef ds:uri="http://gemini/pivotcustomization/ErrorCache"/>
  </ds:schemaRefs>
</ds:datastoreItem>
</file>

<file path=customXml/itemProps8.xml><?xml version="1.0" encoding="utf-8"?>
<ds:datastoreItem xmlns:ds="http://schemas.openxmlformats.org/officeDocument/2006/customXml" ds:itemID="{441E93E7-1BF8-4C2D-BFC5-31D037F86245}">
  <ds:schemaRefs>
    <ds:schemaRef ds:uri="http://gemini/pivotcustomization/ClientWindowXML"/>
  </ds:schemaRefs>
</ds:datastoreItem>
</file>

<file path=customXml/itemProps9.xml><?xml version="1.0" encoding="utf-8"?>
<ds:datastoreItem xmlns:ds="http://schemas.openxmlformats.org/officeDocument/2006/customXml" ds:itemID="{71D51D02-0D23-4957-BCE5-CA1D83369230}">
  <ds:schemaRefs>
    <ds:schemaRef ds:uri="http://gemini/pivotcustomization/TableOrder"/>
  </ds:schemaRefs>
</ds:datastoreItem>
</file>

<file path=customXml/itemProps10.xml><?xml version="1.0" encoding="utf-8"?>
<ds:datastoreItem xmlns:ds="http://schemas.openxmlformats.org/officeDocument/2006/customXml" ds:itemID="{94847145-EEE0-45A1-8D82-0720D51A2F5B}">
  <ds:schemaRefs>
    <ds:schemaRef ds:uri="http://gemini/pivotcustomization/MeasureGridState"/>
  </ds:schemaRefs>
</ds:datastoreItem>
</file>

<file path=customXml/itemProps11.xml><?xml version="1.0" encoding="utf-8"?>
<ds:datastoreItem xmlns:ds="http://schemas.openxmlformats.org/officeDocument/2006/customXml" ds:itemID="{33EFA5A3-EFBA-4083-B25E-EBAC7A38A35B}">
  <ds:schemaRefs>
    <ds:schemaRef ds:uri="http://gemini/pivotcustomization/FormulaBarState"/>
  </ds:schemaRefs>
</ds:datastoreItem>
</file>

<file path=customXml/itemProps12.xml><?xml version="1.0" encoding="utf-8"?>
<ds:datastoreItem xmlns:ds="http://schemas.openxmlformats.org/officeDocument/2006/customXml" ds:itemID="{C27A3246-DA73-424E-98C7-514E7146F2CD}">
  <ds:schemaRefs>
    <ds:schemaRef ds:uri="http://gemini/pivotcustomization/IsSandboxEmbedded"/>
  </ds:schemaRefs>
</ds:datastoreItem>
</file>

<file path=customXml/itemProps13.xml><?xml version="1.0" encoding="utf-8"?>
<ds:datastoreItem xmlns:ds="http://schemas.openxmlformats.org/officeDocument/2006/customXml" ds:itemID="{FE1DA429-CCFC-472C-8391-0DBA2F065864}">
  <ds:schemaRefs>
    <ds:schemaRef ds:uri="http://gemini/pivotcustomization/Diagrams"/>
  </ds:schemaRefs>
</ds:datastoreItem>
</file>

<file path=customXml/itemProps14.xml><?xml version="1.0" encoding="utf-8"?>
<ds:datastoreItem xmlns:ds="http://schemas.openxmlformats.org/officeDocument/2006/customXml" ds:itemID="{D36A88C6-92C0-484C-8BEC-0C890E797A10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7C00887B-B527-4C83-8CE5-55B305B64A66}">
  <ds:schemaRefs>
    <ds:schemaRef ds:uri="http://schemas.openxmlformats.org/package/2006/metadata/core-properties"/>
    <ds:schemaRef ds:uri="http://purl.org/dc/terms/"/>
    <ds:schemaRef ds:uri="http://www.w3.org/XML/1998/namespace"/>
    <ds:schemaRef ds:uri="037ed5ce-9e80-41f7-81a5-4f297c26d5d9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</ds:schemaRefs>
</ds:datastoreItem>
</file>

<file path=customXml/itemProps16.xml><?xml version="1.0" encoding="utf-8"?>
<ds:datastoreItem xmlns:ds="http://schemas.openxmlformats.org/officeDocument/2006/customXml" ds:itemID="{C9465F7C-D364-40F4-BB3B-47ADF465D5E5}">
  <ds:schemaRefs>
    <ds:schemaRef ds:uri="http://gemini/pivotcustomization/PowerPivotVersion"/>
  </ds:schemaRefs>
</ds:datastoreItem>
</file>

<file path=customXml/itemProps17.xml><?xml version="1.0" encoding="utf-8"?>
<ds:datastoreItem xmlns:ds="http://schemas.openxmlformats.org/officeDocument/2006/customXml" ds:itemID="{8E030BB7-AF4A-467A-ABED-2E9646DEC4E8}">
  <ds:schemaRefs>
    <ds:schemaRef ds:uri="http://gemini/pivotcustomization/ManualCalcMode"/>
  </ds:schemaRefs>
</ds:datastoreItem>
</file>

<file path=customXml/itemProps18.xml><?xml version="1.0" encoding="utf-8"?>
<ds:datastoreItem xmlns:ds="http://schemas.openxmlformats.org/officeDocument/2006/customXml" ds:itemID="{5EED1856-0C9A-4184-92BA-65DCC7C36EE3}">
  <ds:schemaRefs>
    <ds:schemaRef ds:uri="http://gemini/pivotcustomization/ShowHidden"/>
  </ds:schemaRefs>
</ds:datastoreItem>
</file>

<file path=customXml/itemProps19.xml><?xml version="1.0" encoding="utf-8"?>
<ds:datastoreItem xmlns:ds="http://schemas.openxmlformats.org/officeDocument/2006/customXml" ds:itemID="{4659AC4D-F162-40BE-A6AE-E9002757A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ed5ce-9e80-41f7-81a5-4f297c26d5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0.xml><?xml version="1.0" encoding="utf-8"?>
<ds:datastoreItem xmlns:ds="http://schemas.openxmlformats.org/officeDocument/2006/customXml" ds:itemID="{6645050E-449E-4F84-B340-FA0114A0A4BD}">
  <ds:schemaRefs>
    <ds:schemaRef ds:uri="http://gemini/pivotcustomization/ShowImplicitMeasur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tcd_Segments</vt:lpstr>
      <vt:lpstr>tcd_Groupesprix</vt:lpstr>
      <vt:lpstr>tcd_QteVarCumul</vt:lpstr>
      <vt:lpstr>tcd_QteCombo</vt:lpstr>
      <vt:lpstr>tcd_VentesPY</vt:lpstr>
      <vt:lpstr>tcd_VentesDiffPM</vt:lpstr>
      <vt:lpstr>tcd_DateRang</vt:lpstr>
      <vt:lpstr>tcd_Ventes</vt:lpstr>
      <vt:lpstr>tcd_prodAnnee</vt:lpstr>
      <vt:lpstr>tcd_MargeCanalLivraison</vt:lpstr>
      <vt:lpstr>tcd_CanalLivraison</vt:lpstr>
      <vt:lpstr>Liste_départ</vt:lpstr>
      <vt:lpstr>Ajout_Data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</dc:creator>
  <cp:keywords/>
  <dc:description/>
  <cp:lastModifiedBy>Ludovic Moreau, manager</cp:lastModifiedBy>
  <cp:revision/>
  <dcterms:created xsi:type="dcterms:W3CDTF">2023-06-27T22:26:43Z</dcterms:created>
  <dcterms:modified xsi:type="dcterms:W3CDTF">2026-03-23T16:29:22Z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  <property fmtid="{D5CDD505-2E9C-101B-9397-08002B2CF9AE}" pid="3" name="Order">
    <vt:r8>41700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SharedWithUsers">
    <vt:lpwstr/>
  </property>
</Properties>
</file>